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a9f7a8368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 Lowongan" sheetId="1" r:id="R6d0d3d75436949ed"/>
    <x:sheet xmlns:r="http://schemas.openxmlformats.org/officeDocument/2006/relationships" name="Dashboard" sheetId="2" r:id="R0815fdcac1e84a05"/>
    <x:sheet xmlns:r="http://schemas.openxmlformats.org/officeDocument/2006/relationships" name="Tracker Lamaran" sheetId="3" r:id="R65e3d3d3c2b44f52"/>
    <x:sheet xmlns:r="http://schemas.openxmlformats.org/officeDocument/2006/relationships" name="Skill Gap" sheetId="4" r:id="Rf13b4e2d43f8403e"/>
    <x:sheet xmlns:r="http://schemas.openxmlformats.org/officeDocument/2006/relationships" name="Panduan" sheetId="5" r:id="Rbb1de0882138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2355B"/>
      <x:name val="Carlito"/>
    </x:font>
    <x:font>
      <x:i/>
      <x:sz val="11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1F6E8C"/>
      </x:patternFill>
    </x:fill>
    <x:fill>
      <x:patternFill patternType="solid">
        <x:fgColor rgb="FFDCEFF5"/>
      </x:patternFill>
    </x:fill>
    <x:fill>
      <x:patternFill patternType="solid">
        <x:fgColor rgb="FFF3F4F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7" xfId="0" applyNumberFormat="1" applyFont="1" applyFill="1" applyBorder="1"/>
    <x:xf numFmtId="0" fontId="3" fillId="4" borderId="13" xfId="0" applyNumberFormat="1" applyFont="1" applyFill="1" applyBorder="1"/>
    <x:xf numFmtId="0" fontId="3" fillId="4" borderId="15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063db6fb643b4" /><Relationship Type="http://schemas.openxmlformats.org/officeDocument/2006/relationships/theme" Target="/xl/theme/theme1.xml" Id="R0467100876734f3e" /><Relationship Type="http://schemas.openxmlformats.org/officeDocument/2006/relationships/sharedStrings" Target="/xl/sharedStrings.xml" Id="R76b365e57ab843ab" /><Relationship Type="http://schemas.openxmlformats.org/officeDocument/2006/relationships/worksheet" Target="/xl/worksheets/sheet1.xml" Id="R6d0d3d75436949ed" /><Relationship Type="http://schemas.openxmlformats.org/officeDocument/2006/relationships/worksheet" Target="/xl/worksheets/sheet2.xml" Id="R0815fdcac1e84a05" /><Relationship Type="http://schemas.openxmlformats.org/officeDocument/2006/relationships/worksheet" Target="/xl/worksheets/sheet3.xml" Id="R65e3d3d3c2b44f52" /><Relationship Type="http://schemas.openxmlformats.org/officeDocument/2006/relationships/worksheet" Target="/xl/worksheets/sheet4.xml" Id="Rf13b4e2d43f8403e" /><Relationship Type="http://schemas.openxmlformats.org/officeDocument/2006/relationships/worksheet" Target="/xl/worksheets/sheet5.xml" Id="Rbb1de088213844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597c09a075429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60141f4e8f04a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Sebaran Lowongan per Provinsi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Jumlah Lowongan Unik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'Dashboard'!$B$14:$B$18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Frekuensi Skill pada 40 Lowongan Unik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Jumlah Lowongan</c:v>
          </c:tx>
          <c:cat>
            <c:strRef>
              <c:f>'Skill Gap'!$A$5:$A$16</c:f>
              <c:strCache>
                <c:ptCount val="0"/>
              </c:strCache>
            </c:strRef>
          </c:cat>
          <c:val>
            <c:numRef>
              <c:f>'Skill Gap'!$B$5:$B$16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597c09a075429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0141f4e8f04a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gangHubDatabase" displayName="MagangHubDatabase" ref="A3:Z44" headerRowCount="1">
  <x:tableColumns count="26">
    <x:tableColumn id="1" name="No"/>
    <x:tableColumn id="2" name="Perusahaan"/>
    <x:tableColumn id="3" name="Posisi"/>
    <x:tableColumn id="4" name="Kota/Kabupaten"/>
    <x:tableColumn id="5" name="Provinsi"/>
    <x:tableColumn id="6" name="Jenis Perusahaan"/>
    <x:tableColumn id="7" name="Pendidikan"/>
    <x:tableColumn id="8" name="Kuota"/>
    <x:tableColumn id="9" name="Jurusan Diterima"/>
    <x:tableColumn id="10" name="Skill Dibutuhkan"/>
    <x:tableColumn id="11" name="Kategori Posisi"/>
    <x:tableColumn id="12" name="Website Perusahaan"/>
    <x:tableColumn id="13" name="Batch"/>
    <x:tableColumn id="14" name="Status Unik"/>
    <x:tableColumn id="15" name="Skor Jurusan"/>
    <x:tableColumn id="16" name="Skor Posisi"/>
    <x:tableColumn id="17" name="Skor Portofolio"/>
    <x:tableColumn id="18" name="Skor Perusahaan"/>
    <x:tableColumn id="19" name="Skor Kuota"/>
    <x:tableColumn id="20" name="Skor Total"/>
    <x:tableColumn id="21" name="Prioritas"/>
    <x:tableColumn id="22" name="Status Lamaran"/>
    <x:tableColumn id="23" name="Tanggal Lamar"/>
    <x:tableColumn id="24" name="Deadline"/>
    <x:tableColumn id="25" name="Catatan Persiapan"/>
    <x:tableColumn id="26" name="Catatan Duplikasi"/>
  </x:tableColumns>
  <x:tableStyleInfo name="TableStyleMedium2" showRowStripes="1"/>
</x:table>
</file>

<file path=xl/tables/table2.xml><?xml version="1.0" encoding="utf-8"?>
<x:table xmlns:x="http://schemas.openxmlformats.org/spreadsheetml/2006/main" id="2" name="ApplicationTracker" displayName="ApplicationTracker" ref="A3:M43" headerRowCount="1">
  <x:tableColumns count="13">
    <x:tableColumn id="1" name="No"/>
    <x:tableColumn id="2" name="Perusahaan"/>
    <x:tableColumn id="3" name="Posisi"/>
    <x:tableColumn id="4" name="Prioritas"/>
    <x:tableColumn id="5" name="Skor"/>
    <x:tableColumn id="6" name="Kota"/>
    <x:tableColumn id="7" name="Kuota"/>
    <x:tableColumn id="8" name="Status"/>
    <x:tableColumn id="9" name="Tanggal Lamar"/>
    <x:tableColumn id="10" name="Tanggal Follow-up"/>
    <x:tableColumn id="11" name="Tahap Berikutnya"/>
    <x:tableColumn id="12" name="Kontak/Link"/>
    <x:tableColumn id="13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54adbea9664c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df0e30a8eda4c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930a8cd45943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3173e4e7e3ee4b3f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0" hidden="0" customWidth="1"/>
    <x:col min="3" max="3" width="36" hidden="0" customWidth="1"/>
    <x:col min="4" max="4" width="23" hidden="0" customWidth="1"/>
    <x:col min="5" max="5" width="17" hidden="0" customWidth="1"/>
    <x:col min="6" max="6" width="19" hidden="0" customWidth="1"/>
    <x:col min="7" max="7" width="12" hidden="0" customWidth="1"/>
    <x:col min="8" max="8" width="8" hidden="0" customWidth="1"/>
    <x:col min="9" max="9" width="42" hidden="0" customWidth="1"/>
    <x:col min="10" max="10" width="45" hidden="0" customWidth="1"/>
    <x:col min="11" max="11" width="27" hidden="0" customWidth="1"/>
    <x:col min="12" max="12" width="31" hidden="0" customWidth="1"/>
    <x:col min="13" max="13" width="11" hidden="0" customWidth="1"/>
    <x:col min="14" max="14" width="20" hidden="0" customWidth="1"/>
    <x:col min="15" max="15" width="11" hidden="0" customWidth="1"/>
    <x:col min="16" max="16" width="11" hidden="0" customWidth="1"/>
    <x:col min="17" max="17" width="13" hidden="0" customWidth="1"/>
    <x:col min="18" max="18" width="13" hidden="0" customWidth="1"/>
    <x:col min="19" max="19" width="11" hidden="0" customWidth="1"/>
    <x:col min="20" max="20" width="11" hidden="0" customWidth="1"/>
    <x:col min="21" max="21" width="10" hidden="0" customWidth="1"/>
    <x:col min="22" max="22" width="16" hidden="0" customWidth="1"/>
    <x:col min="23" max="23" width="15" hidden="0" customWidth="1"/>
    <x:col min="24" max="24" width="15" hidden="0" customWidth="1"/>
    <x:col min="25" max="25" width="42" hidden="0" customWidth="1"/>
    <x:col min="26" max="26" width="25" hidden="0" customWidth="1"/>
  </x:cols>
  <x:sheetData>
    <x:row r="1">
      <x:c r="A1" s="5" t="str">
        <x:v>DATABASE MAGANGHUB – 41 SCREENSHOT / 40 LOWONGAN UNIK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48" customHeight="1">
      <x:c r="A3" s="20" t="str">
        <x:v>No</x:v>
      </x:c>
      <x:c r="B3" s="21" t="str">
        <x:v>Perusahaan</x:v>
      </x:c>
      <x:c r="C3" s="21" t="str">
        <x:v>Posisi</x:v>
      </x:c>
      <x:c r="D3" s="21" t="str">
        <x:v>Kota/Kabupaten</x:v>
      </x:c>
      <x:c r="E3" s="21" t="str">
        <x:v>Provinsi</x:v>
      </x:c>
      <x:c r="F3" s="21" t="str">
        <x:v>Jenis Perusahaan</x:v>
      </x:c>
      <x:c r="G3" s="21" t="str">
        <x:v>Pendidikan</x:v>
      </x:c>
      <x:c r="H3" s="21" t="str">
        <x:v>Kuota</x:v>
      </x:c>
      <x:c r="I3" s="21" t="str">
        <x:v>Jurusan Diterima</x:v>
      </x:c>
      <x:c r="J3" s="21" t="str">
        <x:v>Skill Dibutuhkan</x:v>
      </x:c>
      <x:c r="K3" s="21" t="str">
        <x:v>Kategori Posisi</x:v>
      </x:c>
      <x:c r="L3" s="21" t="str">
        <x:v>Website Perusahaan</x:v>
      </x:c>
      <x:c r="M3" s="21" t="str">
        <x:v>Batch</x:v>
      </x:c>
      <x:c r="N3" s="21" t="str">
        <x:v>Status Unik</x:v>
      </x:c>
      <x:c r="O3" s="21" t="str">
        <x:v>Skor Jurusan</x:v>
      </x:c>
      <x:c r="P3" s="21" t="str">
        <x:v>Skor Posisi</x:v>
      </x:c>
      <x:c r="Q3" s="21" t="str">
        <x:v>Skor Portofolio</x:v>
      </x:c>
      <x:c r="R3" s="21" t="str">
        <x:v>Skor Perusahaan</x:v>
      </x:c>
      <x:c r="S3" s="21" t="str">
        <x:v>Skor Kuota</x:v>
      </x:c>
      <x:c r="T3" s="21" t="str">
        <x:v>Skor Total</x:v>
      </x:c>
      <x:c r="U3" s="21" t="str">
        <x:v>Prioritas</x:v>
      </x:c>
      <x:c r="V3" s="21" t="str">
        <x:v>Status Lamaran</x:v>
      </x:c>
      <x:c r="W3" s="21" t="str">
        <x:v>Tanggal Lamar</x:v>
      </x:c>
      <x:c r="X3" s="21" t="str">
        <x:v>Deadline</x:v>
      </x:c>
      <x:c r="Y3" s="21" t="str">
        <x:v>Catatan Persiapan</x:v>
      </x:c>
      <x:c r="Z3" s="22" t="str">
        <x:v>Catatan Duplikasi</x:v>
      </x:c>
    </x:row>
    <x:row r="4">
      <x:c r="A4" s="37" t="n">
        <x:v>1</x:v>
      </x:c>
      <x:c r="B4" s="38" t="str">
        <x:v>PT Len Industri (Persero)</x:v>
      </x:c>
      <x:c r="C4" s="38" t="str">
        <x:v>Command &amp; Control - Software Engineer Supporting</x:v>
      </x:c>
      <x:c r="D4" s="38" t="str">
        <x:v>Kota Bandung</x:v>
      </x:c>
      <x:c r="E4" s="38" t="str">
        <x:v>Jawa Barat</x:v>
      </x:c>
      <x:c r="F4" s="38" t="str">
        <x:v>BUMN</x:v>
      </x:c>
      <x:c r="G4" s="38" t="str">
        <x:v>S1</x:v>
      </x:c>
      <x:c r="H4" s="38" t="n">
        <x:v>4</x:v>
      </x:c>
      <x:c r="I4" s="38" t="str">
        <x:v>Teknik Informatika; Rekayasa Perangkat Lunak; Sistem Informasi; Manajemen Informatika; Teknik Komputer</x:v>
      </x:c>
      <x:c r="J4" s="38" t="str">
        <x:v>Java; Spring Boot; REST API; PostgreSQL; SQL; Git; Unit Testing; Maven; OOP; Agile</x:v>
      </x:c>
      <x:c r="K4" s="38" t="str">
        <x:v>Software Engineering</x:v>
      </x:c>
      <x:c r="L4" s="38" t="str">
        <x:v>https://www.len.co.id</x:v>
      </x:c>
      <x:c r="M4" s="38" t="str">
        <x:v>Batch 1</x:v>
      </x:c>
      <x:c r="N4" s="38" t="str">
        <x:v>Unik</x:v>
      </x:c>
      <x:c r="O4" s="38" t="n">
        <x:v>25</x:v>
      </x:c>
      <x:c r="P4" s="38" t="n">
        <x:v>30</x:v>
      </x:c>
      <x:c r="Q4" s="38" t="n">
        <x:v>4</x:v>
      </x:c>
      <x:c r="R4" s="38" t="n">
        <x:v>15</x:v>
      </x:c>
      <x:c r="S4" s="38" t="n">
        <x:v>8</x:v>
      </x:c>
      <x:c r="T4" s="38" t="n">
        <x:v>82</x:v>
      </x:c>
      <x:c r="U4" s="38" t="str">
        <x:v>A</x:v>
      </x:c>
      <x:c r="V4" s="38" t="str">
        <x:v>Belum Lamar</x:v>
      </x:c>
      <x:c r="W4" s="49" t="str"/>
      <x:c r="X4" s="49"/>
      <x:c r="Y4" s="38" t="str">
        <x:v>Perlu Java; Perlu SQL/Database; Perlu REST API; Perlu Git; Perlu Testing</x:v>
      </x:c>
      <x:c r="Z4" s="39" t="str">
        <x:v>Unik</x:v>
      </x:c>
    </x:row>
    <x:row r="5">
      <x:c r="A5" s="37" t="n">
        <x:v>2</x:v>
      </x:c>
      <x:c r="B5" s="38" t="str">
        <x:v>PT Telekomunikasi Indonesia (Persero) Tbk</x:v>
      </x:c>
      <x:c r="C5" s="38" t="str">
        <x:v>Developer 02 - DDP</x:v>
      </x:c>
      <x:c r="D5" s="38" t="str">
        <x:v>Kota Adm. Jakarta Selatan</x:v>
      </x:c>
      <x:c r="E5" s="38" t="str">
        <x:v>DKI Jakarta</x:v>
      </x:c>
      <x:c r="F5" s="38" t="str">
        <x:v>BUMN</x:v>
      </x:c>
      <x:c r="G5" s="38" t="str">
        <x:v>D3/S1</x:v>
      </x:c>
      <x:c r="H5" s="38" t="n">
        <x:v>1</x:v>
      </x:c>
      <x:c r="I5" s="38" t="str">
        <x:v>Teknik Informatika; Statistika; Sistem Informasi; Teknik Komputer</x:v>
      </x:c>
      <x:c r="J5" s="38" t="str">
        <x:v>Application Development; Feature Enhancement; System Testing; Integration; Data Analysis; AI; SQL</x:v>
      </x:c>
      <x:c r="K5" s="38" t="str">
        <x:v>Software Development / Data</x:v>
      </x:c>
      <x:c r="L5" s="38" t="str">
        <x:v>https://www.telkom.co.id</x:v>
      </x:c>
      <x:c r="M5" s="38" t="str">
        <x:v>Batch 1</x:v>
      </x:c>
      <x:c r="N5" s="38" t="str">
        <x:v>Unik</x:v>
      </x:c>
      <x:c r="O5" s="38" t="n">
        <x:v>25</x:v>
      </x:c>
      <x:c r="P5" s="38" t="n">
        <x:v>30</x:v>
      </x:c>
      <x:c r="Q5" s="38" t="n">
        <x:v>8</x:v>
      </x:c>
      <x:c r="R5" s="38" t="n">
        <x:v>15</x:v>
      </x:c>
      <x:c r="S5" s="38" t="n">
        <x:v>4</x:v>
      </x:c>
      <x:c r="T5" s="38" t="n">
        <x:v>82</x:v>
      </x:c>
      <x:c r="U5" s="38" t="str">
        <x:v>A</x:v>
      </x:c>
      <x:c r="V5" s="38" t="str">
        <x:v>Belum Lamar</x:v>
      </x:c>
      <x:c r="W5" s="49" t="str"/>
      <x:c r="X5" s="49"/>
      <x:c r="Y5" s="38" t="str">
        <x:v>Perlu SQL/Database; Perlu Testing; Perlu Data/BI</x:v>
      </x:c>
      <x:c r="Z5" s="39" t="str">
        <x:v>Unik</x:v>
      </x:c>
    </x:row>
    <x:row r="6">
      <x:c r="A6" s="37" t="n">
        <x:v>3</x:v>
      </x:c>
      <x:c r="B6" s="38" t="str">
        <x:v>PT Jasadvipa Duta Mandiri</x:v>
      </x:c>
      <x:c r="C6" s="38" t="str">
        <x:v>Software Engineer</x:v>
      </x:c>
      <x:c r="D6" s="38" t="str">
        <x:v>Kota Surabaya</x:v>
      </x:c>
      <x:c r="E6" s="38" t="str">
        <x:v>Jawa Timur</x:v>
      </x:c>
      <x:c r="F6" s="38" t="str">
        <x:v>Swasta</x:v>
      </x:c>
      <x:c r="G6" s="38" t="str">
        <x:v>D3/S1</x:v>
      </x:c>
      <x:c r="H6" s="38" t="n">
        <x:v>1</x:v>
      </x:c>
      <x:c r="I6" s="38" t="str">
        <x:v>Teknik Informatika; Informatika; Rekayasa Perangkat Lunak; Pendidikan Teknik Informatika &amp; Komputer</x:v>
      </x:c>
      <x:c r="J6" s="38" t="str">
        <x:v>OOP; C/C++; Linux; JavaScript; REST API; PostgreSQL; HTML; CSS; Git; Testing; Backend</x:v>
      </x:c>
      <x:c r="K6" s="38" t="str">
        <x:v>Software Engineering</x:v>
      </x:c>
      <x:c r="L6" s="38" t="str">
        <x:v>Belum dicatat</x:v>
      </x:c>
      <x:c r="M6" s="38" t="str">
        <x:v>Batch 1</x:v>
      </x:c>
      <x:c r="N6" s="38" t="str">
        <x:v>Unik</x:v>
      </x:c>
      <x:c r="O6" s="38" t="n">
        <x:v>18</x:v>
      </x:c>
      <x:c r="P6" s="38" t="n">
        <x:v>30</x:v>
      </x:c>
      <x:c r="Q6" s="38" t="n">
        <x:v>4</x:v>
      </x:c>
      <x:c r="R6" s="38" t="n">
        <x:v>10</x:v>
      </x:c>
      <x:c r="S6" s="38" t="n">
        <x:v>4</x:v>
      </x:c>
      <x:c r="T6" s="38" t="n">
        <x:v>66</x:v>
      </x:c>
      <x:c r="U6" s="38" t="str">
        <x:v>C</x:v>
      </x:c>
      <x:c r="V6" s="38" t="str">
        <x:v>Belum Lamar</x:v>
      </x:c>
      <x:c r="W6" s="49" t="str"/>
      <x:c r="X6" s="49"/>
      <x:c r="Y6" s="38" t="str">
        <x:v>Perlu SQL/Database; Perlu REST API; Perlu Git; Perlu Testing</x:v>
      </x:c>
      <x:c r="Z6" s="39" t="str">
        <x:v>Unik</x:v>
      </x:c>
    </x:row>
    <x:row r="7">
      <x:c r="A7" s="37" t="n">
        <x:v>4</x:v>
      </x:c>
      <x:c r="B7" s="38" t="str">
        <x:v>PT Pelindo Terminal Petikemas</x:v>
      </x:c>
      <x:c r="C7" s="38" t="str">
        <x:v>Staff Teknologi Informasi - Kantor Pusat</x:v>
      </x:c>
      <x:c r="D7" s="38" t="str">
        <x:v>Kota Surabaya</x:v>
      </x:c>
      <x:c r="E7" s="38" t="str">
        <x:v>Jawa Timur</x:v>
      </x:c>
      <x:c r="F7" s="38" t="str">
        <x:v>Anak BUMN</x:v>
      </x:c>
      <x:c r="G7" s="38" t="str">
        <x:v>D3/S1</x:v>
      </x:c>
      <x:c r="H7" s="38" t="n">
        <x:v>2</x:v>
      </x:c>
      <x:c r="I7" s="38" t="str">
        <x:v>Teknik Informatika; Teknologi Informasi; Ilmu Komputer; Statistika; Sistem Informasi</x:v>
      </x:c>
      <x:c r="J7" s="38" t="str">
        <x:v>Infrastruktur TI; Sistem Informasi; Monitoring; Data Management; Dokumentasi; Improvement Project</x:v>
      </x:c>
      <x:c r="K7" s="38" t="str">
        <x:v>IT Operations / System Information</x:v>
      </x:c>
      <x:c r="L7" s="38" t="str">
        <x:v>https://www.pelindotpk.co.id</x:v>
      </x:c>
      <x:c r="M7" s="38" t="str">
        <x:v>Batch 1</x:v>
      </x:c>
      <x:c r="N7" s="38" t="str">
        <x:v>Unik</x:v>
      </x:c>
      <x:c r="O7" s="38" t="n">
        <x:v>25</x:v>
      </x:c>
      <x:c r="P7" s="38" t="n">
        <x:v>27</x:v>
      </x:c>
      <x:c r="Q7" s="38" t="n">
        <x:v>4</x:v>
      </x:c>
      <x:c r="R7" s="38" t="n">
        <x:v>15</x:v>
      </x:c>
      <x:c r="S7" s="38" t="n">
        <x:v>6</x:v>
      </x:c>
      <x:c r="T7" s="38" t="n">
        <x:v>77</x:v>
      </x:c>
      <x:c r="U7" s="38" t="str">
        <x:v>B</x:v>
      </x:c>
      <x:c r="V7" s="38" t="str">
        <x:v>Belum Lamar</x:v>
      </x:c>
      <x:c r="W7" s="49" t="str"/>
      <x:c r="X7" s="49"/>
      <x:c r="Y7" s="38" t="str">
        <x:v>Fokus dasar pemrograman dan analisis sistem</x:v>
      </x:c>
      <x:c r="Z7" s="39" t="str">
        <x:v>Unik</x:v>
      </x:c>
    </x:row>
    <x:row r="8">
      <x:c r="A8" s="37" t="n">
        <x:v>5</x:v>
      </x:c>
      <x:c r="B8" s="38" t="str">
        <x:v>PT Telekomunikasi Indonesia (Persero) Tbk</x:v>
      </x:c>
      <x:c r="C8" s="38" t="str">
        <x:v>Developer - TREG 3</x:v>
      </x:c>
      <x:c r="D8" s="38" t="str">
        <x:v>Kota Surabaya</x:v>
      </x:c>
      <x:c r="E8" s="38" t="str">
        <x:v>Jawa Timur</x:v>
      </x:c>
      <x:c r="F8" s="38" t="str">
        <x:v>BUMN</x:v>
      </x:c>
      <x:c r="G8" s="38" t="str">
        <x:v>D3</x:v>
      </x:c>
      <x:c r="H8" s="38" t="n">
        <x:v>1</x:v>
      </x:c>
      <x:c r="I8" s="38" t="str">
        <x:v>Teknik Informatika; Ilmu Komputer; Rekayasa Perangkat Lunak; Sistem Informasi</x:v>
      </x:c>
      <x:c r="J8" s="38" t="str">
        <x:v>PHP; Laravel/CodeIgniter; SQL; Oracle/PostgreSQL; REST API; Git; Web Security; Testing</x:v>
      </x:c>
      <x:c r="K8" s="38" t="str">
        <x:v>Web Development</x:v>
      </x:c>
      <x:c r="L8" s="38" t="str">
        <x:v>https://www.telkom.co.id</x:v>
      </x:c>
      <x:c r="M8" s="38" t="str">
        <x:v>Batch 1</x:v>
      </x:c>
      <x:c r="N8" s="38" t="str">
        <x:v>Unik</x:v>
      </x:c>
      <x:c r="O8" s="38" t="n">
        <x:v>25</x:v>
      </x:c>
      <x:c r="P8" s="38" t="n">
        <x:v>30</x:v>
      </x:c>
      <x:c r="Q8" s="38" t="n">
        <x:v>8</x:v>
      </x:c>
      <x:c r="R8" s="38" t="n">
        <x:v>15</x:v>
      </x:c>
      <x:c r="S8" s="38" t="n">
        <x:v>4</x:v>
      </x:c>
      <x:c r="T8" s="38" t="n">
        <x:v>82</x:v>
      </x:c>
      <x:c r="U8" s="38" t="str">
        <x:v>A</x:v>
      </x:c>
      <x:c r="V8" s="38" t="str">
        <x:v>Belum Lamar</x:v>
      </x:c>
      <x:c r="W8" s="49" t="str"/>
      <x:c r="X8" s="49"/>
      <x:c r="Y8" s="38" t="str">
        <x:v>Perlu Laravel/PHP; Perlu SQL/Database; Perlu REST API; Perlu Git; Perlu Testing</x:v>
      </x:c>
      <x:c r="Z8" s="39" t="str">
        <x:v>Unik</x:v>
      </x:c>
    </x:row>
    <x:row r="9">
      <x:c r="A9" s="37" t="n">
        <x:v>6</x:v>
      </x:c>
      <x:c r="B9" s="38" t="str">
        <x:v>PT Pupuk Kalimantan Timur</x:v>
      </x:c>
      <x:c r="C9" s="38" t="str">
        <x:v>Staf Digitalisasi Administrasi Perkantoran dan Pengelolaan Sistem Informasi</x:v>
      </x:c>
      <x:c r="D9" s="38" t="str">
        <x:v>Kota Bontang</x:v>
      </x:c>
      <x:c r="E9" s="38" t="str">
        <x:v>Kalimantan Timur</x:v>
      </x:c>
      <x:c r="F9" s="38" t="str">
        <x:v>Anak BUMN</x:v>
      </x:c>
      <x:c r="G9" s="38" t="str">
        <x:v>D3/S1</x:v>
      </x:c>
      <x:c r="H9" s="38" t="n">
        <x:v>5</x:v>
      </x:c>
      <x:c r="I9" s="38" t="str">
        <x:v>Teknik Informatika</x:v>
      </x:c>
      <x:c r="J9" s="38" t="str">
        <x:v>Digitalisasi Administrasi; Sistem Informasi; Pengelolaan Data; Dokumen Elektronik; Dashboard; Pelaporan</x:v>
      </x:c>
      <x:c r="K9" s="38" t="str">
        <x:v>Digitalization / Administration Systems</x:v>
      </x:c>
      <x:c r="L9" s="38" t="str">
        <x:v>https://www.pupukkaltim.com</x:v>
      </x:c>
      <x:c r="M9" s="38" t="str">
        <x:v>Batch 1</x:v>
      </x:c>
      <x:c r="N9" s="38" t="str">
        <x:v>Unik</x:v>
      </x:c>
      <x:c r="O9" s="38" t="n">
        <x:v>18</x:v>
      </x:c>
      <x:c r="P9" s="38" t="n">
        <x:v>27</x:v>
      </x:c>
      <x:c r="Q9" s="38" t="n">
        <x:v>16</x:v>
      </x:c>
      <x:c r="R9" s="38" t="n">
        <x:v>15</x:v>
      </x:c>
      <x:c r="S9" s="38" t="n">
        <x:v>10</x:v>
      </x:c>
      <x:c r="T9" s="38" t="n">
        <x:v>86</x:v>
      </x:c>
      <x:c r="U9" s="38" t="str">
        <x:v>S</x:v>
      </x:c>
      <x:c r="V9" s="38" t="str">
        <x:v>Belum Lamar</x:v>
      </x:c>
      <x:c r="W9" s="49" t="str"/>
      <x:c r="X9" s="49"/>
      <x:c r="Y9" s="38" t="str">
        <x:v>Perlu Data/BI</x:v>
      </x:c>
      <x:c r="Z9" s="39" t="str">
        <x:v>Unik</x:v>
      </x:c>
    </x:row>
    <x:row r="10">
      <x:c r="A10" s="37" t="n">
        <x:v>7</x:v>
      </x:c>
      <x:c r="B10" s="38" t="str">
        <x:v>PT Pupuk Kalimantan Timur</x:v>
      </x:c>
      <x:c r="C10" s="38" t="str">
        <x:v>Staf Teknologi Informasi untuk Operasional Pabrik</x:v>
      </x:c>
      <x:c r="D10" s="38" t="str">
        <x:v>Kota Bontang</x:v>
      </x:c>
      <x:c r="E10" s="38" t="str">
        <x:v>Kalimantan Timur</x:v>
      </x:c>
      <x:c r="F10" s="38" t="str">
        <x:v>Anak BUMN</x:v>
      </x:c>
      <x:c r="G10" s="38" t="str">
        <x:v>D3/S1</x:v>
      </x:c>
      <x:c r="H10" s="38" t="n">
        <x:v>1</x:v>
      </x:c>
      <x:c r="I10" s="38" t="str">
        <x:v>Teknik Informatika; Teknologi Informasi</x:v>
      </x:c>
      <x:c r="J10" s="38" t="str">
        <x:v>Sistem Informasi Operasional; Pengelolaan Data; Dukungan Sistem; Dashboard; Laporan</x:v>
      </x:c>
      <x:c r="K10" s="38" t="str">
        <x:v>IT Operations / Manufacturing</x:v>
      </x:c>
      <x:c r="L10" s="38" t="str">
        <x:v>https://www.pupukkaltim.com</x:v>
      </x:c>
      <x:c r="M10" s="38" t="str">
        <x:v>Batch 1</x:v>
      </x:c>
      <x:c r="N10" s="38" t="str">
        <x:v>Unik</x:v>
      </x:c>
      <x:c r="O10" s="38" t="n">
        <x:v>18</x:v>
      </x:c>
      <x:c r="P10" s="38" t="n">
        <x:v>20</x:v>
      </x:c>
      <x:c r="Q10" s="38" t="n">
        <x:v>8</x:v>
      </x:c>
      <x:c r="R10" s="38" t="n">
        <x:v>15</x:v>
      </x:c>
      <x:c r="S10" s="38" t="n">
        <x:v>4</x:v>
      </x:c>
      <x:c r="T10" s="38" t="n">
        <x:v>65</x:v>
      </x:c>
      <x:c r="U10" s="38" t="str">
        <x:v>C</x:v>
      </x:c>
      <x:c r="V10" s="38" t="str">
        <x:v>Belum Lamar</x:v>
      </x:c>
      <x:c r="W10" s="49" t="str"/>
      <x:c r="X10" s="49"/>
      <x:c r="Y10" s="38" t="str">
        <x:v>Perlu Data/BI</x:v>
      </x:c>
      <x:c r="Z10" s="39" t="str">
        <x:v>Unik</x:v>
      </x:c>
    </x:row>
    <x:row r="11">
      <x:c r="A11" s="37" t="n">
        <x:v>8</x:v>
      </x:c>
      <x:c r="B11" s="38" t="str">
        <x:v>Perum Perhutani</x:v>
      </x:c>
      <x:c r="C11" s="38" t="str">
        <x:v>Pengembangan Aplikasi Backend &amp; ETL Perhutani</x:v>
      </x:c>
      <x:c r="D11" s="38" t="str">
        <x:v>Kota Adm. Jakarta Selatan</x:v>
      </x:c>
      <x:c r="E11" s="38" t="str">
        <x:v>DKI Jakarta</x:v>
      </x:c>
      <x:c r="F11" s="38" t="str">
        <x:v>BUMN</x:v>
      </x:c>
      <x:c r="G11" s="38" t="str">
        <x:v>D3/S1</x:v>
      </x:c>
      <x:c r="H11" s="38" t="n">
        <x:v>1</x:v>
      </x:c>
      <x:c r="I11" s="38" t="str">
        <x:v>Teknik Informatika; Teknologi Informasi; Ilmu Komputer; Sistem Informasi</x:v>
      </x:c>
      <x:c r="J11" s="38" t="str">
        <x:v>Backend; API; REST/gRPC; ETL; Pipeline Data; Database; Testing; Deployment; Security</x:v>
      </x:c>
      <x:c r="K11" s="38" t="str">
        <x:v>Backend / Data Engineering</x:v>
      </x:c>
      <x:c r="L11" s="38" t="str">
        <x:v>https://www.perhutani.co.id</x:v>
      </x:c>
      <x:c r="M11" s="38" t="str">
        <x:v>Batch 1</x:v>
      </x:c>
      <x:c r="N11" s="38" t="str">
        <x:v>Unik</x:v>
      </x:c>
      <x:c r="O11" s="38" t="n">
        <x:v>25</x:v>
      </x:c>
      <x:c r="P11" s="38" t="n">
        <x:v>30</x:v>
      </x:c>
      <x:c r="Q11" s="38" t="n">
        <x:v>8</x:v>
      </x:c>
      <x:c r="R11" s="38" t="n">
        <x:v>15</x:v>
      </x:c>
      <x:c r="S11" s="38" t="n">
        <x:v>4</x:v>
      </x:c>
      <x:c r="T11" s="38" t="n">
        <x:v>82</x:v>
      </x:c>
      <x:c r="U11" s="38" t="str">
        <x:v>A</x:v>
      </x:c>
      <x:c r="V11" s="38" t="str">
        <x:v>Belum Lamar</x:v>
      </x:c>
      <x:c r="W11" s="49" t="str"/>
      <x:c r="X11" s="49"/>
      <x:c r="Y11" s="38" t="str">
        <x:v>Perlu SQL/Database; Perlu Testing; Perlu Data/BI</x:v>
      </x:c>
      <x:c r="Z11" s="39" t="str">
        <x:v>Unik</x:v>
      </x:c>
    </x:row>
    <x:row r="12">
      <x:c r="A12" s="37" t="n">
        <x:v>9</x:v>
      </x:c>
      <x:c r="B12" s="38" t="str">
        <x:v>Perum Perhutani</x:v>
      </x:c>
      <x:c r="C12" s="38" t="str">
        <x:v>Refaktor Aplikasi SISKA</x:v>
      </x:c>
      <x:c r="D12" s="38" t="str">
        <x:v>Kota Adm. Jakarta Selatan</x:v>
      </x:c>
      <x:c r="E12" s="38" t="str">
        <x:v>DKI Jakarta</x:v>
      </x:c>
      <x:c r="F12" s="38" t="str">
        <x:v>BUMN</x:v>
      </x:c>
      <x:c r="G12" s="38" t="str">
        <x:v>D3/S1</x:v>
      </x:c>
      <x:c r="H12" s="38" t="n">
        <x:v>1</x:v>
      </x:c>
      <x:c r="I12" s="38" t="str">
        <x:v>Teknik Informatika; Teknologi Informasi; Ilmu Komputer; Sistem Informasi</x:v>
      </x:c>
      <x:c r="J12" s="38" t="str">
        <x:v>Refactoring; Frontend; Backend; API Integration; Database; Testing; Deployment; Documentation</x:v>
      </x:c>
      <x:c r="K12" s="38" t="str">
        <x:v>Application Development</x:v>
      </x:c>
      <x:c r="L12" s="38" t="str">
        <x:v>https://www.perhutani.co.id</x:v>
      </x:c>
      <x:c r="M12" s="38" t="str">
        <x:v>Batch 1</x:v>
      </x:c>
      <x:c r="N12" s="38" t="str">
        <x:v>Unik</x:v>
      </x:c>
      <x:c r="O12" s="38" t="n">
        <x:v>25</x:v>
      </x:c>
      <x:c r="P12" s="38" t="n">
        <x:v>30</x:v>
      </x:c>
      <x:c r="Q12" s="38" t="n">
        <x:v>12</x:v>
      </x:c>
      <x:c r="R12" s="38" t="n">
        <x:v>15</x:v>
      </x:c>
      <x:c r="S12" s="38" t="n">
        <x:v>4</x:v>
      </x:c>
      <x:c r="T12" s="38" t="n">
        <x:v>86</x:v>
      </x:c>
      <x:c r="U12" s="38" t="str">
        <x:v>S</x:v>
      </x:c>
      <x:c r="V12" s="38" t="str">
        <x:v>Belum Lamar</x:v>
      </x:c>
      <x:c r="W12" s="49" t="str"/>
      <x:c r="X12" s="49"/>
      <x:c r="Y12" s="38" t="str">
        <x:v>Perlu SQL/Database; Perlu REST API; Perlu Testing</x:v>
      </x:c>
      <x:c r="Z12" s="39" t="str">
        <x:v>Unik</x:v>
      </x:c>
    </x:row>
    <x:row r="13">
      <x:c r="A13" s="37" t="n">
        <x:v>10</x:v>
      </x:c>
      <x:c r="B13" s="38" t="str">
        <x:v>Nissin Transport Indonesia</x:v>
      </x:c>
      <x:c r="C13" s="38" t="str">
        <x:v>IT Web &amp; Application Developer</x:v>
      </x:c>
      <x:c r="D13" s="38" t="str">
        <x:v>Kota Adm. Jakarta Selatan</x:v>
      </x:c>
      <x:c r="E13" s="38" t="str">
        <x:v>DKI Jakarta</x:v>
      </x:c>
      <x:c r="F13" s="38" t="str">
        <x:v>Swasta</x:v>
      </x:c>
      <x:c r="G13" s="38" t="str">
        <x:v>S1</x:v>
      </x:c>
      <x:c r="H13" s="38" t="n">
        <x:v>1</x:v>
      </x:c>
      <x:c r="I13" s="38" t="str">
        <x:v>Teknik Informatika; Teknologi Rekayasa Perangkat Lunak; Teknologi Informasi; Rekayasa Perangkat Lunak Aplikasi; Sistem Informasi</x:v>
      </x:c>
      <x:c r="J13" s="38" t="str">
        <x:v>Web Development; Internal Application; Testing; Bug Fixing; Database; System Integration; Digitalization</x:v>
      </x:c>
      <x:c r="K13" s="38" t="str">
        <x:v>Web &amp; Application Development</x:v>
      </x:c>
      <x:c r="L13" s="38" t="str">
        <x:v>https://www.nissin-tw.com</x:v>
      </x:c>
      <x:c r="M13" s="38" t="str">
        <x:v>Batch 1</x:v>
      </x:c>
      <x:c r="N13" s="38" t="str">
        <x:v>Unik</x:v>
      </x:c>
      <x:c r="O13" s="38" t="n">
        <x:v>25</x:v>
      </x:c>
      <x:c r="P13" s="38" t="n">
        <x:v>30</x:v>
      </x:c>
      <x:c r="Q13" s="38" t="n">
        <x:v>16</x:v>
      </x:c>
      <x:c r="R13" s="38" t="n">
        <x:v>10</x:v>
      </x:c>
      <x:c r="S13" s="38" t="n">
        <x:v>4</x:v>
      </x:c>
      <x:c r="T13" s="38" t="n">
        <x:v>85</x:v>
      </x:c>
      <x:c r="U13" s="38" t="str">
        <x:v>S</x:v>
      </x:c>
      <x:c r="V13" s="38" t="str">
        <x:v>Belum Lamar</x:v>
      </x:c>
      <x:c r="W13" s="49" t="str"/>
      <x:c r="X13" s="49"/>
      <x:c r="Y13" s="38" t="str">
        <x:v>Perlu SQL/Database; Perlu Testing</x:v>
      </x:c>
      <x:c r="Z13" s="39" t="str">
        <x:v>Unik</x:v>
      </x:c>
    </x:row>
    <x:row r="14">
      <x:c r="A14" s="37" t="n">
        <x:v>11</x:v>
      </x:c>
      <x:c r="B14" s="38" t="str">
        <x:v>PT Surganya Motor Indonesia</x:v>
      </x:c>
      <x:c r="C14" s="38" t="str">
        <x:v>IT Staff</x:v>
      </x:c>
      <x:c r="D14" s="38" t="str">
        <x:v>Kota Bandung</x:v>
      </x:c>
      <x:c r="E14" s="38" t="str">
        <x:v>Jawa Barat</x:v>
      </x:c>
      <x:c r="F14" s="38" t="str">
        <x:v>Swasta</x:v>
      </x:c>
      <x:c r="G14" s="38" t="str">
        <x:v>D3/S1</x:v>
      </x:c>
      <x:c r="H14" s="38" t="n">
        <x:v>1</x:v>
      </x:c>
      <x:c r="I14" s="38" t="str">
        <x:v>Teknik Informatika; Sistem dan Teknologi Informasi; Pendidikan Teknik Informatika</x:v>
      </x:c>
      <x:c r="J14" s="38" t="str">
        <x:v>SOP IT; Project Development; Business Analysis; Documentation</x:v>
      </x:c>
      <x:c r="K14" s="38" t="str">
        <x:v>IT Staff / Project</x:v>
      </x:c>
      <x:c r="L14" s="38" t="str">
        <x:v>https://planetban.com</x:v>
      </x:c>
      <x:c r="M14" s="38" t="str">
        <x:v>Batch 2</x:v>
      </x:c>
      <x:c r="N14" s="38" t="str">
        <x:v>Unik</x:v>
      </x:c>
      <x:c r="O14" s="38" t="n">
        <x:v>18</x:v>
      </x:c>
      <x:c r="P14" s="38" t="n">
        <x:v>20</x:v>
      </x:c>
      <x:c r="Q14" s="38" t="n">
        <x:v>0</x:v>
      </x:c>
      <x:c r="R14" s="38" t="n">
        <x:v>10</x:v>
      </x:c>
      <x:c r="S14" s="38" t="n">
        <x:v>4</x:v>
      </x:c>
      <x:c r="T14" s="38" t="n">
        <x:v>52</x:v>
      </x:c>
      <x:c r="U14" s="38" t="str">
        <x:v>C</x:v>
      </x:c>
      <x:c r="V14" s="38" t="str">
        <x:v>Belum Lamar</x:v>
      </x:c>
      <x:c r="W14" s="49" t="str"/>
      <x:c r="X14" s="49"/>
      <x:c r="Y14" s="38" t="str">
        <x:v>Fokus dasar pemrograman dan analisis sistem</x:v>
      </x:c>
      <x:c r="Z14" s="39" t="str">
        <x:v>Unik</x:v>
      </x:c>
    </x:row>
    <x:row r="15">
      <x:c r="A15" s="37" t="n">
        <x:v>12</x:v>
      </x:c>
      <x:c r="B15" s="38" t="str">
        <x:v>PT Telekomunikasi Indonesia (Persero) Tbk - Witel Bandung</x:v>
      </x:c>
      <x:c r="C15" s="38" t="str">
        <x:v>Developer 01 - DCS</x:v>
      </x:c>
      <x:c r="D15" s="38" t="str">
        <x:v>Kota Bandung</x:v>
      </x:c>
      <x:c r="E15" s="38" t="str">
        <x:v>Jawa Barat</x:v>
      </x:c>
      <x:c r="F15" s="38" t="str">
        <x:v>BUMN</x:v>
      </x:c>
      <x:c r="G15" s="38" t="str">
        <x:v>D3/S1</x:v>
      </x:c>
      <x:c r="H15" s="38" t="n">
        <x:v>1</x:v>
      </x:c>
      <x:c r="I15" s="38" t="str">
        <x:v>Teknik Informatika; Rekayasa Perangkat Lunak; Sistem Informasi</x:v>
      </x:c>
      <x:c r="J15" s="38" t="str">
        <x:v>PHP; MySQL; PostgreSQL; REST API; Git; GitHub; HTML; CSS; React; Vue; Security; Testing</x:v>
      </x:c>
      <x:c r="K15" s="38" t="str">
        <x:v>Web Development</x:v>
      </x:c>
      <x:c r="L15" s="38" t="str">
        <x:v>https://www.telkom.co.id</x:v>
      </x:c>
      <x:c r="M15" s="38" t="str">
        <x:v>Batch 2</x:v>
      </x:c>
      <x:c r="N15" s="38" t="str">
        <x:v>Unik</x:v>
      </x:c>
      <x:c r="O15" s="38" t="n">
        <x:v>25</x:v>
      </x:c>
      <x:c r="P15" s="38" t="n">
        <x:v>30</x:v>
      </x:c>
      <x:c r="Q15" s="38" t="n">
        <x:v>8</x:v>
      </x:c>
      <x:c r="R15" s="38" t="n">
        <x:v>15</x:v>
      </x:c>
      <x:c r="S15" s="38" t="n">
        <x:v>4</x:v>
      </x:c>
      <x:c r="T15" s="38" t="n">
        <x:v>82</x:v>
      </x:c>
      <x:c r="U15" s="38" t="str">
        <x:v>A</x:v>
      </x:c>
      <x:c r="V15" s="38" t="str">
        <x:v>Belum Lamar</x:v>
      </x:c>
      <x:c r="W15" s="49" t="str"/>
      <x:c r="X15" s="49"/>
      <x:c r="Y15" s="38" t="str">
        <x:v>Perlu Laravel/PHP; Perlu SQL/Database; Perlu REST API; Perlu Git; Perlu React/Vue</x:v>
      </x:c>
      <x:c r="Z15" s="39" t="str">
        <x:v>Unik</x:v>
      </x:c>
    </x:row>
    <x:row r="16">
      <x:c r="A16" s="37" t="n">
        <x:v>13</x:v>
      </x:c>
      <x:c r="B16" s="38" t="str">
        <x:v>PT Pertamina Retail</x:v>
      </x:c>
      <x:c r="C16" s="38" t="str">
        <x:v>Information, Communication &amp; Technology</x:v>
      </x:c>
      <x:c r="D16" s="38" t="str">
        <x:v>Kota Adm. Jakarta Pusat</x:v>
      </x:c>
      <x:c r="E16" s="38" t="str">
        <x:v>DKI Jakarta</x:v>
      </x:c>
      <x:c r="F16" s="38" t="str">
        <x:v>Anak BUMN</x:v>
      </x:c>
      <x:c r="G16" s="38" t="str">
        <x:v>S1</x:v>
      </x:c>
      <x:c r="H16" s="38" t="n">
        <x:v>1</x:v>
      </x:c>
      <x:c r="I16" s="38" t="str">
        <x:v>Teknik Informatika; Ilmu Komputer; Sistem Informasi</x:v>
      </x:c>
      <x:c r="J16" s="38" t="str">
        <x:v>ICT Strategy; ICT Roadmap; IT Development; IT Reliability; IT Maintenance; Service Desk; Security; Incident Management</x:v>
      </x:c>
      <x:c r="K16" s="38" t="str">
        <x:v>ICT / IT Governance</x:v>
      </x:c>
      <x:c r="L16" s="38" t="str">
        <x:v>https://pertaminaretail.com</x:v>
      </x:c>
      <x:c r="M16" s="38" t="str">
        <x:v>Batch 2</x:v>
      </x:c>
      <x:c r="N16" s="38" t="str">
        <x:v>Unik</x:v>
      </x:c>
      <x:c r="O16" s="38" t="n">
        <x:v>25</x:v>
      </x:c>
      <x:c r="P16" s="38" t="n">
        <x:v>20</x:v>
      </x:c>
      <x:c r="Q16" s="38" t="n">
        <x:v>4</x:v>
      </x:c>
      <x:c r="R16" s="38" t="n">
        <x:v>15</x:v>
      </x:c>
      <x:c r="S16" s="38" t="n">
        <x:v>4</x:v>
      </x:c>
      <x:c r="T16" s="38" t="n">
        <x:v>68</x:v>
      </x:c>
      <x:c r="U16" s="38" t="str">
        <x:v>C</x:v>
      </x:c>
      <x:c r="V16" s="38" t="str">
        <x:v>Belum Lamar</x:v>
      </x:c>
      <x:c r="W16" s="49" t="str"/>
      <x:c r="X16" s="49"/>
      <x:c r="Y16" s="38" t="str">
        <x:v>Perlu Data/BI</x:v>
      </x:c>
      <x:c r="Z16" s="39" t="str">
        <x:v>Unik</x:v>
      </x:c>
    </x:row>
    <x:row r="17">
      <x:c r="A17" s="37" t="n">
        <x:v>14</x:v>
      </x:c>
      <x:c r="B17" s="38" t="str">
        <x:v>PT Pertamina Geothermal Energy Tbk</x:v>
      </x:c>
      <x:c r="C17" s="38" t="str">
        <x:v>Digital Transformation Intern</x:v>
      </x:c>
      <x:c r="D17" s="38" t="str">
        <x:v>Kota Adm. Jakarta Pusat</x:v>
      </x:c>
      <x:c r="E17" s="38" t="str">
        <x:v>DKI Jakarta</x:v>
      </x:c>
      <x:c r="F17" s="38" t="str">
        <x:v>Anak BUMN</x:v>
      </x:c>
      <x:c r="G17" s="38" t="str">
        <x:v>S1</x:v>
      </x:c>
      <x:c r="H17" s="38" t="n">
        <x:v>1</x:v>
      </x:c>
      <x:c r="I17" s="38" t="str">
        <x:v>Teknik Informatika; Ilmu Komputer; Teknik Industri; Sistem Informasi</x:v>
      </x:c>
      <x:c r="J17" s="38" t="str">
        <x:v>Process Mapping; Business Analysis; System Integration; Change Management; UAT; Data Analysis; Project Coordination</x:v>
      </x:c>
      <x:c r="K17" s="38" t="str">
        <x:v>Digital Transformation / Business Analyst</x:v>
      </x:c>
      <x:c r="L17" s="38" t="str">
        <x:v>https://www.pge.pertamina.com</x:v>
      </x:c>
      <x:c r="M17" s="38" t="str">
        <x:v>Batch 2</x:v>
      </x:c>
      <x:c r="N17" s="38" t="str">
        <x:v>Unik</x:v>
      </x:c>
      <x:c r="O17" s="38" t="n">
        <x:v>25</x:v>
      </x:c>
      <x:c r="P17" s="38" t="n">
        <x:v>25</x:v>
      </x:c>
      <x:c r="Q17" s="38" t="n">
        <x:v>4</x:v>
      </x:c>
      <x:c r="R17" s="38" t="n">
        <x:v>15</x:v>
      </x:c>
      <x:c r="S17" s="38" t="n">
        <x:v>4</x:v>
      </x:c>
      <x:c r="T17" s="38" t="n">
        <x:v>73</x:v>
      </x:c>
      <x:c r="U17" s="38" t="str">
        <x:v>B</x:v>
      </x:c>
      <x:c r="V17" s="38" t="str">
        <x:v>Belum Lamar</x:v>
      </x:c>
      <x:c r="W17" s="49" t="str"/>
      <x:c r="X17" s="49"/>
      <x:c r="Y17" s="38" t="str">
        <x:v>Perlu Data/BI</x:v>
      </x:c>
      <x:c r="Z17" s="39" t="str">
        <x:v>Unik</x:v>
      </x:c>
    </x:row>
    <x:row r="18">
      <x:c r="A18" s="37" t="n">
        <x:v>15</x:v>
      </x:c>
      <x:c r="B18" s="38" t="str">
        <x:v>PT Jasa Marga (Persero) Tbk</x:v>
      </x:c>
      <x:c r="C18" s="38" t="str">
        <x:v>Staff Information Technology PT JMTM</x:v>
      </x:c>
      <x:c r="D18" s="38" t="str">
        <x:v>Kota Adm. Jakarta Timur</x:v>
      </x:c>
      <x:c r="E18" s="38" t="str">
        <x:v>DKI Jakarta</x:v>
      </x:c>
      <x:c r="F18" s="38" t="str">
        <x:v>BUMN</x:v>
      </x:c>
      <x:c r="G18" s="38" t="str">
        <x:v>S1</x:v>
      </x:c>
      <x:c r="H18" s="38" t="n">
        <x:v>2</x:v>
      </x:c>
      <x:c r="I18" s="38" t="str">
        <x:v>Teknik Informatika; Sistem Informasi</x:v>
      </x:c>
      <x:c r="J18" s="38" t="str">
        <x:v>Backend; Frontend; Database; IT Infrastructure; Troubleshooting; Documentation; IT Governance</x:v>
      </x:c>
      <x:c r="K18" s="38" t="str">
        <x:v>IT Development &amp; Support</x:v>
      </x:c>
      <x:c r="L18" s="38" t="str">
        <x:v>https://www.jasamarga.com</x:v>
      </x:c>
      <x:c r="M18" s="38" t="str">
        <x:v>Batch 2</x:v>
      </x:c>
      <x:c r="N18" s="38" t="str">
        <x:v>Unik</x:v>
      </x:c>
      <x:c r="O18" s="38" t="n">
        <x:v>25</x:v>
      </x:c>
      <x:c r="P18" s="38" t="n">
        <x:v>30</x:v>
      </x:c>
      <x:c r="Q18" s="38" t="n">
        <x:v>4</x:v>
      </x:c>
      <x:c r="R18" s="38" t="n">
        <x:v>15</x:v>
      </x:c>
      <x:c r="S18" s="38" t="n">
        <x:v>6</x:v>
      </x:c>
      <x:c r="T18" s="38" t="n">
        <x:v>80</x:v>
      </x:c>
      <x:c r="U18" s="38" t="str">
        <x:v>A</x:v>
      </x:c>
      <x:c r="V18" s="38" t="str">
        <x:v>Belum Lamar</x:v>
      </x:c>
      <x:c r="W18" s="49" t="str"/>
      <x:c r="X18" s="49"/>
      <x:c r="Y18" s="38" t="str">
        <x:v>Perlu SQL/Database</x:v>
      </x:c>
      <x:c r="Z18" s="39" t="str">
        <x:v>Unik</x:v>
      </x:c>
    </x:row>
    <x:row r="19">
      <x:c r="A19" s="37" t="n">
        <x:v>16</x:v>
      </x:c>
      <x:c r="B19" s="38" t="str">
        <x:v>PT Pupuk Kujang</x:v>
      </x:c>
      <x:c r="C19" s="38" t="str">
        <x:v>Staff Digitalisasi</x:v>
      </x:c>
      <x:c r="D19" s="38" t="str">
        <x:v>Kab. Karawang</x:v>
      </x:c>
      <x:c r="E19" s="38" t="str">
        <x:v>Jawa Barat</x:v>
      </x:c>
      <x:c r="F19" s="38" t="str">
        <x:v>Anak BUMN</x:v>
      </x:c>
      <x:c r="G19" s="38" t="str">
        <x:v>D3/S1/Profesi</x:v>
      </x:c>
      <x:c r="H19" s="38" t="n">
        <x:v>1</x:v>
      </x:c>
      <x:c r="I19" s="38" t="str">
        <x:v>Teknik Informatika; Teknologi Informasi</x:v>
      </x:c>
      <x:c r="J19" s="38" t="str">
        <x:v>Web Development; Laravel; REST API; Microservices; Cloud; Docker; Digitalization Project</x:v>
      </x:c>
      <x:c r="K19" s="38" t="str">
        <x:v>Digitalization / Web Development</x:v>
      </x:c>
      <x:c r="L19" s="38" t="str">
        <x:v>https://www.pupuk-kujang.co.id</x:v>
      </x:c>
      <x:c r="M19" s="38" t="str">
        <x:v>Batch 2</x:v>
      </x:c>
      <x:c r="N19" s="38" t="str">
        <x:v>Unik</x:v>
      </x:c>
      <x:c r="O19" s="38" t="n">
        <x:v>18</x:v>
      </x:c>
      <x:c r="P19" s="38" t="n">
        <x:v>27</x:v>
      </x:c>
      <x:c r="Q19" s="38" t="n">
        <x:v>8</x:v>
      </x:c>
      <x:c r="R19" s="38" t="n">
        <x:v>15</x:v>
      </x:c>
      <x:c r="S19" s="38" t="n">
        <x:v>4</x:v>
      </x:c>
      <x:c r="T19" s="38" t="n">
        <x:v>72</x:v>
      </x:c>
      <x:c r="U19" s="38" t="str">
        <x:v>B</x:v>
      </x:c>
      <x:c r="V19" s="38" t="str">
        <x:v>Belum Lamar</x:v>
      </x:c>
      <x:c r="W19" s="49" t="str"/>
      <x:c r="X19" s="49"/>
      <x:c r="Y19" s="38" t="str">
        <x:v>Perlu Laravel/PHP; Perlu REST API</x:v>
      </x:c>
      <x:c r="Z19" s="39" t="str">
        <x:v>Unik</x:v>
      </x:c>
    </x:row>
    <x:row r="20">
      <x:c r="A20" s="37" t="n">
        <x:v>17</x:v>
      </x:c>
      <x:c r="B20" s="38" t="str">
        <x:v>PT Toyota Motor Manufacturing Indonesia</x:v>
      </x:c>
      <x:c r="C20" s="38" t="str">
        <x:v>Software Engineer - Karawang Plant</x:v>
      </x:c>
      <x:c r="D20" s="38" t="str">
        <x:v>Kab. Karawang</x:v>
      </x:c>
      <x:c r="E20" s="38" t="str">
        <x:v>Jawa Barat</x:v>
      </x:c>
      <x:c r="F20" s="38" t="str">
        <x:v>Swasta Multinasional</x:v>
      </x:c>
      <x:c r="G20" s="38" t="str">
        <x:v>D3/S1</x:v>
      </x:c>
      <x:c r="H20" s="38" t="n">
        <x:v>5</x:v>
      </x:c>
      <x:c r="I20" s="38" t="str">
        <x:v>Sistem Informasi; Teknik Komputer; Teknik Informatika</x:v>
      </x:c>
      <x:c r="J20" s="38" t="str">
        <x:v>Software Engineering; Frontend; Backend; Database; SQL; API; Testing; QA; Agile; DevOps</x:v>
      </x:c>
      <x:c r="K20" s="38" t="str">
        <x:v>Software Engineering</x:v>
      </x:c>
      <x:c r="L20" s="38" t="str">
        <x:v>https://www.toyota.co.id</x:v>
      </x:c>
      <x:c r="M20" s="38" t="str">
        <x:v>Batch 2</x:v>
      </x:c>
      <x:c r="N20" s="38" t="str">
        <x:v>Unik</x:v>
      </x:c>
      <x:c r="O20" s="38" t="n">
        <x:v>25</x:v>
      </x:c>
      <x:c r="P20" s="38" t="n">
        <x:v>30</x:v>
      </x:c>
      <x:c r="Q20" s="38" t="n">
        <x:v>4</x:v>
      </x:c>
      <x:c r="R20" s="38" t="n">
        <x:v>15</x:v>
      </x:c>
      <x:c r="S20" s="38" t="n">
        <x:v>10</x:v>
      </x:c>
      <x:c r="T20" s="38" t="n">
        <x:v>84</x:v>
      </x:c>
      <x:c r="U20" s="38" t="str">
        <x:v>A</x:v>
      </x:c>
      <x:c r="V20" s="38" t="str">
        <x:v>Belum Lamar</x:v>
      </x:c>
      <x:c r="W20" s="49" t="str"/>
      <x:c r="X20" s="49"/>
      <x:c r="Y20" s="38" t="str">
        <x:v>Perlu SQL/Database; Perlu Testing</x:v>
      </x:c>
      <x:c r="Z20" s="39" t="str">
        <x:v>Unik</x:v>
      </x:c>
    </x:row>
    <x:row r="21">
      <x:c r="A21" s="37" t="n">
        <x:v>18</x:v>
      </x:c>
      <x:c r="B21" s="38" t="str">
        <x:v>PT Paragon Technology and Innovation</x:v>
      </x:c>
      <x:c r="C21" s="38" t="str">
        <x:v>Software Engineer (HR Technology) Intern</x:v>
      </x:c>
      <x:c r="D21" s="38" t="str">
        <x:v>Kota Adm. Jakarta Selatan</x:v>
      </x:c>
      <x:c r="E21" s="38" t="str">
        <x:v>DKI Jakarta</x:v>
      </x:c>
      <x:c r="F21" s="38" t="str">
        <x:v>Swasta</x:v>
      </x:c>
      <x:c r="G21" s="38" t="str">
        <x:v>D3/S1</x:v>
      </x:c>
      <x:c r="H21" s="38" t="n">
        <x:v>3</x:v>
      </x:c>
      <x:c r="I21" s="38" t="str">
        <x:v>Ilmu Komputer; Teknik Industri; Sistem Informasi; Teknik Elektro</x:v>
      </x:c>
      <x:c r="J21" s="38" t="str">
        <x:v>Web/Mobile Development; Version Control; Testing; Code Review; AI-powered Applications; HR Technology</x:v>
      </x:c>
      <x:c r="K21" s="38" t="str">
        <x:v>Software Engineering / HR Tech</x:v>
      </x:c>
      <x:c r="L21" s="38" t="str">
        <x:v>https://www.paragon-innovation.com</x:v>
      </x:c>
      <x:c r="M21" s="38" t="str">
        <x:v>Batch 2</x:v>
      </x:c>
      <x:c r="N21" s="38" t="str">
        <x:v>Unik</x:v>
      </x:c>
      <x:c r="O21" s="38" t="n">
        <x:v>25</x:v>
      </x:c>
      <x:c r="P21" s="38" t="n">
        <x:v>30</x:v>
      </x:c>
      <x:c r="Q21" s="38" t="n">
        <x:v>12</x:v>
      </x:c>
      <x:c r="R21" s="38" t="n">
        <x:v>10</x:v>
      </x:c>
      <x:c r="S21" s="38" t="n">
        <x:v>8</x:v>
      </x:c>
      <x:c r="T21" s="38" t="n">
        <x:v>85</x:v>
      </x:c>
      <x:c r="U21" s="38" t="str">
        <x:v>S</x:v>
      </x:c>
      <x:c r="V21" s="38" t="str">
        <x:v>Belum Lamar</x:v>
      </x:c>
      <x:c r="W21" s="49" t="str"/>
      <x:c r="X21" s="49"/>
      <x:c r="Y21" s="38" t="str">
        <x:v>Perlu Testing; Perlu Data/BI</x:v>
      </x:c>
      <x:c r="Z21" s="39" t="str">
        <x:v>Unik</x:v>
      </x:c>
    </x:row>
    <x:row r="22">
      <x:c r="A22" s="37" t="n">
        <x:v>19</x:v>
      </x:c>
      <x:c r="B22" s="38" t="str">
        <x:v>PT Great Giant Pineapple</x:v>
      </x:c>
      <x:c r="C22" s="38" t="str">
        <x:v>Full Stack Engineer Intern</x:v>
      </x:c>
      <x:c r="D22" s="38" t="str">
        <x:v>Kab. Tangerang</x:v>
      </x:c>
      <x:c r="E22" s="38" t="str">
        <x:v>Banten</x:v>
      </x:c>
      <x:c r="F22" s="38" t="str">
        <x:v>Swasta</x:v>
      </x:c>
      <x:c r="G22" s="38" t="str">
        <x:v>S1</x:v>
      </x:c>
      <x:c r="H22" s="38" t="n">
        <x:v>1</x:v>
      </x:c>
      <x:c r="I22" s="38" t="str">
        <x:v>Teknologi Informasi</x:v>
      </x:c>
      <x:c r="J22" s="38" t="str">
        <x:v>Laravel; Vue.js; React.js; Flutter; PostgreSQL; REST API; Git; GitHub; Full Stack; Testing</x:v>
      </x:c>
      <x:c r="K22" s="38" t="str">
        <x:v>Full Stack Development</x:v>
      </x:c>
      <x:c r="L22" s="38" t="str">
        <x:v>https://www.greatgiantfoods.com</x:v>
      </x:c>
      <x:c r="M22" s="38" t="str">
        <x:v>Batch 2</x:v>
      </x:c>
      <x:c r="N22" s="38" t="str">
        <x:v>Unik</x:v>
      </x:c>
      <x:c r="O22" s="38" t="n">
        <x:v>18</x:v>
      </x:c>
      <x:c r="P22" s="38" t="n">
        <x:v>30</x:v>
      </x:c>
      <x:c r="Q22" s="38" t="n">
        <x:v>0</x:v>
      </x:c>
      <x:c r="R22" s="38" t="n">
        <x:v>10</x:v>
      </x:c>
      <x:c r="S22" s="38" t="n">
        <x:v>4</x:v>
      </x:c>
      <x:c r="T22" s="38" t="n">
        <x:v>62</x:v>
      </x:c>
      <x:c r="U22" s="38" t="str">
        <x:v>C</x:v>
      </x:c>
      <x:c r="V22" s="38" t="str">
        <x:v>Belum Lamar</x:v>
      </x:c>
      <x:c r="W22" s="49" t="str"/>
      <x:c r="X22" s="49"/>
      <x:c r="Y22" s="38" t="str">
        <x:v>Perlu Laravel/PHP; Perlu SQL/Database; Perlu REST API; Perlu Git; Perlu React/Vue</x:v>
      </x:c>
      <x:c r="Z22" s="39" t="str">
        <x:v>Unik</x:v>
      </x:c>
    </x:row>
    <x:row r="23">
      <x:c r="A23" s="37" t="n">
        <x:v>20</x:v>
      </x:c>
      <x:c r="B23" s="38" t="str">
        <x:v>PT Wiraswasta Gemilang Indonesia</x:v>
      </x:c>
      <x:c r="C23" s="38" t="str">
        <x:v>Development Programming</x:v>
      </x:c>
      <x:c r="D23" s="38" t="str">
        <x:v>Kab. Bekasi</x:v>
      </x:c>
      <x:c r="E23" s="38" t="str">
        <x:v>Jawa Barat</x:v>
      </x:c>
      <x:c r="F23" s="38" t="str">
        <x:v>Swasta</x:v>
      </x:c>
      <x:c r="G23" s="38" t="str">
        <x:v>S1</x:v>
      </x:c>
      <x:c r="H23" s="38" t="n">
        <x:v>2</x:v>
      </x:c>
      <x:c r="I23" s="38" t="str">
        <x:v>Teknik Informatika; Pendidikan Teknik Informatika &amp; Komputer</x:v>
      </x:c>
      <x:c r="J23" s="38" t="str">
        <x:v>Programming; Data Input; Integration; UAT; Application Development</x:v>
      </x:c>
      <x:c r="K23" s="38" t="str">
        <x:v>Programming / Application</x:v>
      </x:c>
      <x:c r="L23" s="38" t="str">
        <x:v>https://www.wgi.co.id</x:v>
      </x:c>
      <x:c r="M23" s="38" t="str">
        <x:v>Batch 2</x:v>
      </x:c>
      <x:c r="N23" s="38" t="str">
        <x:v>Unik</x:v>
      </x:c>
      <x:c r="O23" s="38" t="n">
        <x:v>18</x:v>
      </x:c>
      <x:c r="P23" s="38" t="n">
        <x:v>20</x:v>
      </x:c>
      <x:c r="Q23" s="38" t="n">
        <x:v>4</x:v>
      </x:c>
      <x:c r="R23" s="38" t="n">
        <x:v>10</x:v>
      </x:c>
      <x:c r="S23" s="38" t="n">
        <x:v>6</x:v>
      </x:c>
      <x:c r="T23" s="38" t="n">
        <x:v>58</x:v>
      </x:c>
      <x:c r="U23" s="38" t="str">
        <x:v>C</x:v>
      </x:c>
      <x:c r="V23" s="38" t="str">
        <x:v>Belum Lamar</x:v>
      </x:c>
      <x:c r="W23" s="49" t="str"/>
      <x:c r="X23" s="49"/>
      <x:c r="Y23" s="38" t="str">
        <x:v>Fokus dasar pemrograman dan analisis sistem</x:v>
      </x:c>
      <x:c r="Z23" s="39" t="str">
        <x:v>Unik</x:v>
      </x:c>
    </x:row>
    <x:row r="24">
      <x:c r="A24" s="37" t="n">
        <x:v>21</x:v>
      </x:c>
      <x:c r="B24" s="38" t="str">
        <x:v>PT United Tractors Tbk</x:v>
      </x:c>
      <x:c r="C24" s="38" t="str">
        <x:v>Technology &amp; Digitalization</x:v>
      </x:c>
      <x:c r="D24" s="38" t="str">
        <x:v>Kota Adm. Jakarta Timur</x:v>
      </x:c>
      <x:c r="E24" s="38" t="str">
        <x:v>DKI Jakarta</x:v>
      </x:c>
      <x:c r="F24" s="38" t="str">
        <x:v>Swasta (Astra Group)</x:v>
      </x:c>
      <x:c r="G24" s="38" t="str">
        <x:v>D3/S1</x:v>
      </x:c>
      <x:c r="H24" s="38" t="n">
        <x:v>6</x:v>
      </x:c>
      <x:c r="I24" s="38" t="str">
        <x:v>Teknik Informatika; Ilmu Komputer; Sistem Informasi; Teknik Elektro</x:v>
      </x:c>
      <x:c r="J24" s="38" t="str">
        <x:v>Digitalization; Dashboard; Reporting; Business Analysis; System Documentation; Project Management</x:v>
      </x:c>
      <x:c r="K24" s="38" t="str">
        <x:v>Technology &amp; Digitalization</x:v>
      </x:c>
      <x:c r="L24" s="38" t="str">
        <x:v>https://www.unitedtractors.com</x:v>
      </x:c>
      <x:c r="M24" s="38" t="str">
        <x:v>Batch 3</x:v>
      </x:c>
      <x:c r="N24" s="38" t="str">
        <x:v>Unik</x:v>
      </x:c>
      <x:c r="O24" s="38" t="n">
        <x:v>25</x:v>
      </x:c>
      <x:c r="P24" s="38" t="n">
        <x:v>27</x:v>
      </x:c>
      <x:c r="Q24" s="38" t="n">
        <x:v>8</x:v>
      </x:c>
      <x:c r="R24" s="38" t="n">
        <x:v>13</x:v>
      </x:c>
      <x:c r="S24" s="38" t="n">
        <x:v>10</x:v>
      </x:c>
      <x:c r="T24" s="38" t="n">
        <x:v>83</x:v>
      </x:c>
      <x:c r="U24" s="38" t="str">
        <x:v>A</x:v>
      </x:c>
      <x:c r="V24" s="38" t="str">
        <x:v>Belum Lamar</x:v>
      </x:c>
      <x:c r="W24" s="49" t="str"/>
      <x:c r="X24" s="49"/>
      <x:c r="Y24" s="38" t="str">
        <x:v>Perlu Data/BI</x:v>
      </x:c>
      <x:c r="Z24" s="39" t="str">
        <x:v>Unik</x:v>
      </x:c>
    </x:row>
    <x:row r="25">
      <x:c r="A25" s="37" t="n">
        <x:v>22</x:v>
      </x:c>
      <x:c r="B25" s="38" t="str">
        <x:v>PT Traktor Nusantara</x:v>
      </x:c>
      <x:c r="C25" s="38" t="str">
        <x:v>Information &amp; Technology Intern</x:v>
      </x:c>
      <x:c r="D25" s="38" t="str">
        <x:v>Kota Adm. Jakarta Timur</x:v>
      </x:c>
      <x:c r="E25" s="38" t="str">
        <x:v>DKI Jakarta</x:v>
      </x:c>
      <x:c r="F25" s="38" t="str">
        <x:v>Swasta</x:v>
      </x:c>
      <x:c r="G25" s="38" t="str">
        <x:v>S1</x:v>
      </x:c>
      <x:c r="H25" s="38" t="n">
        <x:v>1</x:v>
      </x:c>
      <x:c r="I25" s="38" t="str">
        <x:v>Teknik Informatika; Ilmu Komputer; Sistem Komputer; Sistem Informasi; Teknik Komputer</x:v>
      </x:c>
      <x:c r="J25" s="38" t="str">
        <x:v>System Development; Business Analysis; Testing; Troubleshooting; Monitoring; Database; Integration; Automation</x:v>
      </x:c>
      <x:c r="K25" s="38" t="str">
        <x:v>Information Technology</x:v>
      </x:c>
      <x:c r="L25" s="38" t="str">
        <x:v>https://www.traknus.co.id</x:v>
      </x:c>
      <x:c r="M25" s="38" t="str">
        <x:v>Batch 3</x:v>
      </x:c>
      <x:c r="N25" s="38" t="str">
        <x:v>Unik</x:v>
      </x:c>
      <x:c r="O25" s="38" t="n">
        <x:v>25</x:v>
      </x:c>
      <x:c r="P25" s="38" t="n">
        <x:v>27</x:v>
      </x:c>
      <x:c r="Q25" s="38" t="n">
        <x:v>4</x:v>
      </x:c>
      <x:c r="R25" s="38" t="n">
        <x:v>10</x:v>
      </x:c>
      <x:c r="S25" s="38" t="n">
        <x:v>4</x:v>
      </x:c>
      <x:c r="T25" s="38" t="n">
        <x:v>70</x:v>
      </x:c>
      <x:c r="U25" s="38" t="str">
        <x:v>B</x:v>
      </x:c>
      <x:c r="V25" s="38" t="str">
        <x:v>Belum Lamar</x:v>
      </x:c>
      <x:c r="W25" s="49" t="str"/>
      <x:c r="X25" s="49"/>
      <x:c r="Y25" s="38" t="str">
        <x:v>Perlu SQL/Database; Perlu Testing</x:v>
      </x:c>
      <x:c r="Z25" s="39" t="str">
        <x:v>Unik</x:v>
      </x:c>
    </x:row>
    <x:row r="26">
      <x:c r="A26" s="37" t="n">
        <x:v>23</x:v>
      </x:c>
      <x:c r="B26" s="38" t="str">
        <x:v>Panasonic Manufacturing Indonesia</x:v>
      </x:c>
      <x:c r="C26" s="38" t="str">
        <x:v>HSE_IT Internship</x:v>
      </x:c>
      <x:c r="D26" s="38" t="str">
        <x:v>Kota Adm. Jakarta Timur</x:v>
      </x:c>
      <x:c r="E26" s="38" t="str">
        <x:v>DKI Jakarta</x:v>
      </x:c>
      <x:c r="F26" s="38" t="str">
        <x:v>Swasta Multinasional</x:v>
      </x:c>
      <x:c r="G26" s="38" t="str">
        <x:v>D3/S1</x:v>
      </x:c>
      <x:c r="H26" s="38" t="n">
        <x:v>1</x:v>
      </x:c>
      <x:c r="I26" s="38" t="str">
        <x:v>Teknik Informatika; Teknik Informatika</x:v>
      </x:c>
      <x:c r="J26" s="38" t="str">
        <x:v>Dashboard; Website; Application Development; HSE Digitalization</x:v>
      </x:c>
      <x:c r="K26" s="38" t="str">
        <x:v>IT Development / HSE</x:v>
      </x:c>
      <x:c r="L26" s="38" t="str">
        <x:v>https://www.panasonic.com/id</x:v>
      </x:c>
      <x:c r="M26" s="38" t="str">
        <x:v>Batch 3</x:v>
      </x:c>
      <x:c r="N26" s="38" t="str">
        <x:v>Unik</x:v>
      </x:c>
      <x:c r="O26" s="38" t="n">
        <x:v>18</x:v>
      </x:c>
      <x:c r="P26" s="38" t="n">
        <x:v>27</x:v>
      </x:c>
      <x:c r="Q26" s="38" t="n">
        <x:v>16</x:v>
      </x:c>
      <x:c r="R26" s="38" t="n">
        <x:v>15</x:v>
      </x:c>
      <x:c r="S26" s="38" t="n">
        <x:v>4</x:v>
      </x:c>
      <x:c r="T26" s="38" t="n">
        <x:v>80</x:v>
      </x:c>
      <x:c r="U26" s="38" t="str">
        <x:v>A</x:v>
      </x:c>
      <x:c r="V26" s="38" t="str">
        <x:v>Belum Lamar</x:v>
      </x:c>
      <x:c r="W26" s="49" t="str"/>
      <x:c r="X26" s="49"/>
      <x:c r="Y26" s="38" t="str">
        <x:v>Perlu Data/BI</x:v>
      </x:c>
      <x:c r="Z26" s="39" t="str">
        <x:v>Unik</x:v>
      </x:c>
    </x:row>
    <x:row r="27">
      <x:c r="A27" s="37" t="n">
        <x:v>24</x:v>
      </x:c>
      <x:c r="B27" s="38" t="str">
        <x:v>Panasonic Manufacturing Indonesia</x:v>
      </x:c>
      <x:c r="C27" s="38" t="str">
        <x:v>IAQ_IT Internship</x:v>
      </x:c>
      <x:c r="D27" s="38" t="str">
        <x:v>Kota Adm. Jakarta Timur</x:v>
      </x:c>
      <x:c r="E27" s="38" t="str">
        <x:v>DKI Jakarta</x:v>
      </x:c>
      <x:c r="F27" s="38" t="str">
        <x:v>Swasta Multinasional</x:v>
      </x:c>
      <x:c r="G27" s="38" t="str">
        <x:v>D3/S1</x:v>
      </x:c>
      <x:c r="H27" s="38" t="n">
        <x:v>1</x:v>
      </x:c>
      <x:c r="I27" s="38" t="str">
        <x:v>Teknik Informatika</x:v>
      </x:c>
      <x:c r="J27" s="38" t="str">
        <x:v>Website; Visualization; Productivity; Security; Dashboard; IAQ Digitalization</x:v>
      </x:c>
      <x:c r="K27" s="38" t="str">
        <x:v>IT Development / IAQ</x:v>
      </x:c>
      <x:c r="L27" s="38" t="str">
        <x:v>https://www.panasonic.com/id</x:v>
      </x:c>
      <x:c r="M27" s="38" t="str">
        <x:v>Batch 3</x:v>
      </x:c>
      <x:c r="N27" s="38" t="str">
        <x:v>Unik</x:v>
      </x:c>
      <x:c r="O27" s="38" t="n">
        <x:v>18</x:v>
      </x:c>
      <x:c r="P27" s="38" t="n">
        <x:v>27</x:v>
      </x:c>
      <x:c r="Q27" s="38" t="n">
        <x:v>12</x:v>
      </x:c>
      <x:c r="R27" s="38" t="n">
        <x:v>15</x:v>
      </x:c>
      <x:c r="S27" s="38" t="n">
        <x:v>4</x:v>
      </x:c>
      <x:c r="T27" s="38" t="n">
        <x:v>76</x:v>
      </x:c>
      <x:c r="U27" s="38" t="str">
        <x:v>B</x:v>
      </x:c>
      <x:c r="V27" s="38" t="str">
        <x:v>Belum Lamar</x:v>
      </x:c>
      <x:c r="W27" s="49" t="str"/>
      <x:c r="X27" s="49"/>
      <x:c r="Y27" s="38" t="str">
        <x:v>Perlu Data/BI</x:v>
      </x:c>
      <x:c r="Z27" s="39" t="str">
        <x:v>Unik</x:v>
      </x:c>
    </x:row>
    <x:row r="28">
      <x:c r="A28" s="37" t="n">
        <x:v>25</x:v>
      </x:c>
      <x:c r="B28" s="38" t="str">
        <x:v>PT Wijaya Karya (Persero) Tbk</x:v>
      </x:c>
      <x:c r="C28" s="38" t="str">
        <x:v>Staf Eng Digitalisasi Building</x:v>
      </x:c>
      <x:c r="D28" s="38" t="str">
        <x:v>Kota Adm. Jakarta Timur</x:v>
      </x:c>
      <x:c r="E28" s="38" t="str">
        <x:v>DKI Jakarta</x:v>
      </x:c>
      <x:c r="F28" s="38" t="str">
        <x:v>BUMN</x:v>
      </x:c>
      <x:c r="G28" s="38" t="str">
        <x:v>S1</x:v>
      </x:c>
      <x:c r="H28" s="38" t="n">
        <x:v>1</x:v>
      </x:c>
      <x:c r="I28" s="38" t="str">
        <x:v>Teknik Informatika; Sistem Informasi</x:v>
      </x:c>
      <x:c r="J28" s="38" t="str">
        <x:v>Digitalization; Development; Implementation; Maintenance; Improvement</x:v>
      </x:c>
      <x:c r="K28" s="38" t="str">
        <x:v>Engineering Digitalization</x:v>
      </x:c>
      <x:c r="L28" s="38" t="str">
        <x:v>https://www.wika.co.id</x:v>
      </x:c>
      <x:c r="M28" s="38" t="str">
        <x:v>Batch 3</x:v>
      </x:c>
      <x:c r="N28" s="38" t="str">
        <x:v>Unik</x:v>
      </x:c>
      <x:c r="O28" s="38" t="n">
        <x:v>25</x:v>
      </x:c>
      <x:c r="P28" s="38" t="n">
        <x:v>27</x:v>
      </x:c>
      <x:c r="Q28" s="38" t="n">
        <x:v>12</x:v>
      </x:c>
      <x:c r="R28" s="38" t="n">
        <x:v>15</x:v>
      </x:c>
      <x:c r="S28" s="38" t="n">
        <x:v>4</x:v>
      </x:c>
      <x:c r="T28" s="38" t="n">
        <x:v>83</x:v>
      </x:c>
      <x:c r="U28" s="38" t="str">
        <x:v>A</x:v>
      </x:c>
      <x:c r="V28" s="38" t="str">
        <x:v>Belum Lamar</x:v>
      </x:c>
      <x:c r="W28" s="49" t="str"/>
      <x:c r="X28" s="49"/>
      <x:c r="Y28" s="38" t="str">
        <x:v>Fokus dasar pemrograman dan analisis sistem</x:v>
      </x:c>
      <x:c r="Z28" s="39" t="str">
        <x:v>Unik</x:v>
      </x:c>
    </x:row>
    <x:row r="29">
      <x:c r="A29" s="37" t="n">
        <x:v>26</x:v>
      </x:c>
      <x:c r="B29" s="38" t="str">
        <x:v>PT Wijaya Karya (Persero) Tbk</x:v>
      </x:c>
      <x:c r="C29" s="38" t="str">
        <x:v>Staf AI Development Building</x:v>
      </x:c>
      <x:c r="D29" s="38" t="str">
        <x:v>Kota Adm. Jakarta Timur</x:v>
      </x:c>
      <x:c r="E29" s="38" t="str">
        <x:v>DKI Jakarta</x:v>
      </x:c>
      <x:c r="F29" s="38" t="str">
        <x:v>BUMN</x:v>
      </x:c>
      <x:c r="G29" s="38" t="str">
        <x:v>S1</x:v>
      </x:c>
      <x:c r="H29" s="38" t="n">
        <x:v>1</x:v>
      </x:c>
      <x:c r="I29" s="38" t="str">
        <x:v>Teknik Informatika; Sistem Informasi</x:v>
      </x:c>
      <x:c r="J29" s="38" t="str">
        <x:v>Data Processing; Dashboard; Visualization; AI; Reporting; Data Analysis; Testing</x:v>
      </x:c>
      <x:c r="K29" s="38" t="str">
        <x:v>AI / Data Analytics</x:v>
      </x:c>
      <x:c r="L29" s="38" t="str">
        <x:v>https://www.wika.co.id</x:v>
      </x:c>
      <x:c r="M29" s="38" t="str">
        <x:v>Batch 3</x:v>
      </x:c>
      <x:c r="N29" s="38" t="str">
        <x:v>Unik</x:v>
      </x:c>
      <x:c r="O29" s="38" t="n">
        <x:v>25</x:v>
      </x:c>
      <x:c r="P29" s="38" t="n">
        <x:v>25</x:v>
      </x:c>
      <x:c r="Q29" s="38" t="n">
        <x:v>12</x:v>
      </x:c>
      <x:c r="R29" s="38" t="n">
        <x:v>15</x:v>
      </x:c>
      <x:c r="S29" s="38" t="n">
        <x:v>4</x:v>
      </x:c>
      <x:c r="T29" s="38" t="n">
        <x:v>81</x:v>
      </x:c>
      <x:c r="U29" s="38" t="str">
        <x:v>A</x:v>
      </x:c>
      <x:c r="V29" s="38" t="str">
        <x:v>Belum Lamar</x:v>
      </x:c>
      <x:c r="W29" s="49" t="str"/>
      <x:c r="X29" s="49"/>
      <x:c r="Y29" s="38" t="str">
        <x:v>Perlu Testing; Perlu Data/BI</x:v>
      </x:c>
      <x:c r="Z29" s="39" t="str">
        <x:v>Unik</x:v>
      </x:c>
    </x:row>
    <x:row r="30">
      <x:c r="A30" s="37" t="n">
        <x:v>27</x:v>
      </x:c>
      <x:c r="B30" s="38" t="str">
        <x:v>PT Sumber Trijaya Lestari Nasional</x:v>
      </x:c>
      <x:c r="C30" s="38" t="str">
        <x:v>Web Development Intern</x:v>
      </x:c>
      <x:c r="D30" s="38" t="str">
        <x:v>Kota Tangerang</x:v>
      </x:c>
      <x:c r="E30" s="38" t="str">
        <x:v>Banten</x:v>
      </x:c>
      <x:c r="F30" s="38" t="str">
        <x:v>Swasta</x:v>
      </x:c>
      <x:c r="G30" s="38" t="str">
        <x:v>S1</x:v>
      </x:c>
      <x:c r="H30" s="38" t="n">
        <x:v>2</x:v>
      </x:c>
      <x:c r="I30" s="38" t="str">
        <x:v>Teknik Informatika; Ilmu Komputer; Rekayasa Perangkat Lunak; Sistem Informasi</x:v>
      </x:c>
      <x:c r="J30" s="38" t="str">
        <x:v>Laravel; BI Dashboard; Query Optimization; Frontend; React; PHP; MySQL; Documentation; UAT</x:v>
      </x:c>
      <x:c r="K30" s="38" t="str">
        <x:v>Web Development / BI</x:v>
      </x:c>
      <x:c r="L30" s="38" t="str">
        <x:v>Belum dicatat</x:v>
      </x:c>
      <x:c r="M30" s="38" t="str">
        <x:v>Batch 3</x:v>
      </x:c>
      <x:c r="N30" s="38" t="str">
        <x:v>Unik</x:v>
      </x:c>
      <x:c r="O30" s="38" t="n">
        <x:v>25</x:v>
      </x:c>
      <x:c r="P30" s="38" t="n">
        <x:v>20</x:v>
      </x:c>
      <x:c r="Q30" s="38" t="n">
        <x:v>12</x:v>
      </x:c>
      <x:c r="R30" s="38" t="n">
        <x:v>10</x:v>
      </x:c>
      <x:c r="S30" s="38" t="n">
        <x:v>6</x:v>
      </x:c>
      <x:c r="T30" s="38" t="n">
        <x:v>73</x:v>
      </x:c>
      <x:c r="U30" s="38" t="str">
        <x:v>B</x:v>
      </x:c>
      <x:c r="V30" s="38" t="str">
        <x:v>Belum Lamar</x:v>
      </x:c>
      <x:c r="W30" s="49" t="str"/>
      <x:c r="X30" s="49"/>
      <x:c r="Y30" s="38" t="str">
        <x:v>Perlu Laravel/PHP; Perlu SQL/Database; Perlu React/Vue; Perlu Data/BI</x:v>
      </x:c>
      <x:c r="Z30" s="39" t="str">
        <x:v>Unik</x:v>
      </x:c>
    </x:row>
    <x:row r="31">
      <x:c r="A31" s="37" t="n">
        <x:v>28</x:v>
      </x:c>
      <x:c r="B31" s="38" t="str">
        <x:v>Panasonic Gobel Life Solutions Manufacturing Indonesia</x:v>
      </x:c>
      <x:c r="C31" s="38" t="str">
        <x:v>Programmer</x:v>
      </x:c>
      <x:c r="D31" s="38" t="str">
        <x:v>Kab. Bogor</x:v>
      </x:c>
      <x:c r="E31" s="38" t="str">
        <x:v>Jawa Barat</x:v>
      </x:c>
      <x:c r="F31" s="38" t="str">
        <x:v>Swasta Multinasional</x:v>
      </x:c>
      <x:c r="G31" s="38" t="str">
        <x:v>D3/S1</x:v>
      </x:c>
      <x:c r="H31" s="38" t="n">
        <x:v>2</x:v>
      </x:c>
      <x:c r="I31" s="38" t="str">
        <x:v>Teknik Informatika; Ilmu Komputer</x:v>
      </x:c>
      <x:c r="J31" s="38" t="str">
        <x:v>Full Stack; Web Application; Database Integration; Testing; Debugging; LMS; CRUD; Deployment</x:v>
      </x:c>
      <x:c r="K31" s="38" t="str">
        <x:v>Programmer / Full Stack</x:v>
      </x:c>
      <x:c r="L31" s="38" t="str">
        <x:v>https://www.panasonic.com/id</x:v>
      </x:c>
      <x:c r="M31" s="38" t="str">
        <x:v>Batch 3</x:v>
      </x:c>
      <x:c r="N31" s="38" t="str">
        <x:v>Unik</x:v>
      </x:c>
      <x:c r="O31" s="38" t="n">
        <x:v>18</x:v>
      </x:c>
      <x:c r="P31" s="38" t="n">
        <x:v>30</x:v>
      </x:c>
      <x:c r="Q31" s="38" t="n">
        <x:v>8</x:v>
      </x:c>
      <x:c r="R31" s="38" t="n">
        <x:v>15</x:v>
      </x:c>
      <x:c r="S31" s="38" t="n">
        <x:v>6</x:v>
      </x:c>
      <x:c r="T31" s="38" t="n">
        <x:v>77</x:v>
      </x:c>
      <x:c r="U31" s="38" t="str">
        <x:v>B</x:v>
      </x:c>
      <x:c r="V31" s="38" t="str">
        <x:v>Belum Lamar</x:v>
      </x:c>
      <x:c r="W31" s="49" t="str"/>
      <x:c r="X31" s="49"/>
      <x:c r="Y31" s="38" t="str">
        <x:v>Perlu SQL/Database; Perlu Testing</x:v>
      </x:c>
      <x:c r="Z31" s="39" t="str">
        <x:v>Unik</x:v>
      </x:c>
    </x:row>
    <x:row r="32">
      <x:c r="A32" s="37" t="n">
        <x:v>29</x:v>
      </x:c>
      <x:c r="B32" s="38" t="str">
        <x:v>Panasonic Gobel Life Solutions Manufacturing Indonesia</x:v>
      </x:c>
      <x:c r="C32" s="38" t="str">
        <x:v>Software Engineer</x:v>
      </x:c>
      <x:c r="D32" s="38" t="str">
        <x:v>Kab. Bogor</x:v>
      </x:c>
      <x:c r="E32" s="38" t="str">
        <x:v>Jawa Barat</x:v>
      </x:c>
      <x:c r="F32" s="38" t="str">
        <x:v>Swasta Multinasional</x:v>
      </x:c>
      <x:c r="G32" s="38" t="str">
        <x:v>D3/S1</x:v>
      </x:c>
      <x:c r="H32" s="38" t="n">
        <x:v>1</x:v>
      </x:c>
      <x:c r="I32" s="38" t="str">
        <x:v>Teknik Informatika; Ilmu Komputer</x:v>
      </x:c>
      <x:c r="J32" s="38" t="str">
        <x:v>Full Stack; Web Application; Database Integration; Testing; Debugging; E-Catalog; CRUD; Deployment</x:v>
      </x:c>
      <x:c r="K32" s="38" t="str">
        <x:v>Software Engineering</x:v>
      </x:c>
      <x:c r="L32" s="38" t="str">
        <x:v>https://www.panasonic.com/id</x:v>
      </x:c>
      <x:c r="M32" s="38" t="str">
        <x:v>Batch 3</x:v>
      </x:c>
      <x:c r="N32" s="38" t="str">
        <x:v>Unik</x:v>
      </x:c>
      <x:c r="O32" s="38" t="n">
        <x:v>18</x:v>
      </x:c>
      <x:c r="P32" s="38" t="n">
        <x:v>30</x:v>
      </x:c>
      <x:c r="Q32" s="38" t="n">
        <x:v>8</x:v>
      </x:c>
      <x:c r="R32" s="38" t="n">
        <x:v>15</x:v>
      </x:c>
      <x:c r="S32" s="38" t="n">
        <x:v>4</x:v>
      </x:c>
      <x:c r="T32" s="38" t="n">
        <x:v>75</x:v>
      </x:c>
      <x:c r="U32" s="38" t="str">
        <x:v>B</x:v>
      </x:c>
      <x:c r="V32" s="38" t="str">
        <x:v>Belum Lamar</x:v>
      </x:c>
      <x:c r="W32" s="49" t="str"/>
      <x:c r="X32" s="49"/>
      <x:c r="Y32" s="38" t="str">
        <x:v>Perlu SQL/Database; Perlu Testing</x:v>
      </x:c>
      <x:c r="Z32" s="39" t="str">
        <x:v>Unik</x:v>
      </x:c>
    </x:row>
    <x:row r="33">
      <x:c r="A33" s="37" t="n">
        <x:v>30</x:v>
      </x:c>
      <x:c r="B33" s="38" t="str">
        <x:v>PT Transportasi Jakarta</x:v>
      </x:c>
      <x:c r="C33" s="38" t="str">
        <x:v>Engineer</x:v>
      </x:c>
      <x:c r="D33" s="38" t="str">
        <x:v>Kota Adm. Jakarta Timur</x:v>
      </x:c>
      <x:c r="E33" s="38" t="str">
        <x:v>DKI Jakarta</x:v>
      </x:c>
      <x:c r="F33" s="38" t="str">
        <x:v>BUMD</x:v>
      </x:c>
      <x:c r="G33" s="38" t="str">
        <x:v>S1</x:v>
      </x:c>
      <x:c r="H33" s="38" t="n">
        <x:v>8</x:v>
      </x:c>
      <x:c r="I33" s="38" t="str">
        <x:v>Teknik Informatika; Teknologi Informasi; Ilmu Komputer; Rekayasa Perangkat Lunak; Sistem Informasi</x:v>
      </x:c>
      <x:c r="J33" s="38" t="str">
        <x:v>SDLC; Git; GitHub; REST API; SQL; OOP; Backend; Frontend; Testing; Agile; Code Review</x:v>
      </x:c>
      <x:c r="K33" s="38" t="str">
        <x:v>Software Engineering</x:v>
      </x:c>
      <x:c r="L33" s="38" t="str">
        <x:v>https://transjakarta.co.id</x:v>
      </x:c>
      <x:c r="M33" s="38" t="str">
        <x:v>Batch 3</x:v>
      </x:c>
      <x:c r="N33" s="38" t="str">
        <x:v>Unik</x:v>
      </x:c>
      <x:c r="O33" s="38" t="n">
        <x:v>25</x:v>
      </x:c>
      <x:c r="P33" s="38" t="n">
        <x:v>30</x:v>
      </x:c>
      <x:c r="Q33" s="38" t="n">
        <x:v>4</x:v>
      </x:c>
      <x:c r="R33" s="38" t="n">
        <x:v>13</x:v>
      </x:c>
      <x:c r="S33" s="38" t="n">
        <x:v>10</x:v>
      </x:c>
      <x:c r="T33" s="38" t="n">
        <x:v>82</x:v>
      </x:c>
      <x:c r="U33" s="38" t="str">
        <x:v>A</x:v>
      </x:c>
      <x:c r="V33" s="38" t="str">
        <x:v>Belum Lamar</x:v>
      </x:c>
      <x:c r="W33" s="49" t="str"/>
      <x:c r="X33" s="49"/>
      <x:c r="Y33" s="38" t="str">
        <x:v>Perlu SQL/Database; Perlu REST API; Perlu Git; Perlu Testing</x:v>
      </x:c>
      <x:c r="Z33" s="39" t="str">
        <x:v>Unik</x:v>
      </x:c>
    </x:row>
    <x:row r="34">
      <x:c r="A34" s="37" t="n">
        <x:v>31</x:v>
      </x:c>
      <x:c r="B34" s="38" t="str">
        <x:v>PT Toyota Motor Manufacturing Indonesia</x:v>
      </x:c>
      <x:c r="C34" s="38" t="str">
        <x:v>Software Engineer - Jakarta Utara</x:v>
      </x:c>
      <x:c r="D34" s="38" t="str">
        <x:v>Kota Adm. Jakarta Utara</x:v>
      </x:c>
      <x:c r="E34" s="38" t="str">
        <x:v>DKI Jakarta</x:v>
      </x:c>
      <x:c r="F34" s="38" t="str">
        <x:v>Swasta Multinasional</x:v>
      </x:c>
      <x:c r="G34" s="38" t="str">
        <x:v>D3/S1</x:v>
      </x:c>
      <x:c r="H34" s="38" t="n">
        <x:v>5</x:v>
      </x:c>
      <x:c r="I34" s="38" t="str">
        <x:v>Ilmu Komputer; Teknik Informatika; Sistem Informasi; Teknik Komputer</x:v>
      </x:c>
      <x:c r="J34" s="38" t="str">
        <x:v>Software Engineering; SDLC; OOP; Git; Agile; DevOps; Database; SQL; API; Testing; QA</x:v>
      </x:c>
      <x:c r="K34" s="38" t="str">
        <x:v>Software Engineering</x:v>
      </x:c>
      <x:c r="L34" s="38" t="str">
        <x:v>https://www.toyota.co.id</x:v>
      </x:c>
      <x:c r="M34" s="38" t="str">
        <x:v>Batch 4</x:v>
      </x:c>
      <x:c r="N34" s="38" t="str">
        <x:v>Unik</x:v>
      </x:c>
      <x:c r="O34" s="38" t="n">
        <x:v>25</x:v>
      </x:c>
      <x:c r="P34" s="38" t="n">
        <x:v>30</x:v>
      </x:c>
      <x:c r="Q34" s="38" t="n">
        <x:v>4</x:v>
      </x:c>
      <x:c r="R34" s="38" t="n">
        <x:v>15</x:v>
      </x:c>
      <x:c r="S34" s="38" t="n">
        <x:v>10</x:v>
      </x:c>
      <x:c r="T34" s="38" t="n">
        <x:v>84</x:v>
      </x:c>
      <x:c r="U34" s="38" t="str">
        <x:v>A</x:v>
      </x:c>
      <x:c r="V34" s="38" t="str">
        <x:v>Belum Lamar</x:v>
      </x:c>
      <x:c r="W34" s="49" t="str"/>
      <x:c r="X34" s="49"/>
      <x:c r="Y34" s="38" t="str">
        <x:v>Perlu SQL/Database; Perlu Git; Perlu Testing</x:v>
      </x:c>
      <x:c r="Z34" s="39" t="str">
        <x:v>Unik</x:v>
      </x:c>
    </x:row>
    <x:row r="35">
      <x:c r="A35" s="37" t="n">
        <x:v>32</x:v>
      </x:c>
      <x:c r="B35" s="38" t="str">
        <x:v>PT Global Tiket Network</x:v>
      </x:c>
      <x:c r="C35" s="38" t="str">
        <x:v>Software Engineer (Backend) Intern</x:v>
      </x:c>
      <x:c r="D35" s="38" t="str">
        <x:v>Kota Adm. Jakarta Barat</x:v>
      </x:c>
      <x:c r="E35" s="38" t="str">
        <x:v>DKI Jakarta</x:v>
      </x:c>
      <x:c r="F35" s="38" t="str">
        <x:v>Swasta Teknologi</x:v>
      </x:c>
      <x:c r="G35" s="38" t="str">
        <x:v>S1</x:v>
      </x:c>
      <x:c r="H35" s="38" t="n">
        <x:v>10</x:v>
      </x:c>
      <x:c r="I35" s="38" t="str">
        <x:v>Teknik Informatika; Teknologi Informasi; Ilmu Komputer; Sistem dan Teknologi Informasi; Teknik Komputer</x:v>
      </x:c>
      <x:c r="J35" s="38" t="str">
        <x:v>Backend; Distributed Systems; Java; SQL; NoSQL; PostgreSQL; MySQL; MongoDB; Cassandra; Kafka; HTTP; Scalability</x:v>
      </x:c>
      <x:c r="K35" s="38" t="str">
        <x:v>Backend Engineering</x:v>
      </x:c>
      <x:c r="L35" s="38" t="str">
        <x:v>https://www.tiket.com</x:v>
      </x:c>
      <x:c r="M35" s="38" t="str">
        <x:v>Batch 4</x:v>
      </x:c>
      <x:c r="N35" s="38" t="str">
        <x:v>Unik</x:v>
      </x:c>
      <x:c r="O35" s="38" t="n">
        <x:v>18</x:v>
      </x:c>
      <x:c r="P35" s="38" t="n">
        <x:v>30</x:v>
      </x:c>
      <x:c r="Q35" s="38" t="n">
        <x:v>0</x:v>
      </x:c>
      <x:c r="R35" s="38" t="n">
        <x:v>15</x:v>
      </x:c>
      <x:c r="S35" s="38" t="n">
        <x:v>10</x:v>
      </x:c>
      <x:c r="T35" s="38" t="n">
        <x:v>73</x:v>
      </x:c>
      <x:c r="U35" s="38" t="str">
        <x:v>B</x:v>
      </x:c>
      <x:c r="V35" s="38" t="str">
        <x:v>Belum Lamar</x:v>
      </x:c>
      <x:c r="W35" s="49" t="str"/>
      <x:c r="X35" s="49"/>
      <x:c r="Y35" s="38" t="str">
        <x:v>Perlu Java; Perlu SQL/Database; Perlu Data/BI</x:v>
      </x:c>
      <x:c r="Z35" s="39" t="str">
        <x:v>Unik</x:v>
      </x:c>
    </x:row>
    <x:row r="36">
      <x:c r="A36" s="37" t="n">
        <x:v>33</x:v>
      </x:c>
      <x:c r="B36" s="38" t="str">
        <x:v>PT Grab Teknologi Indonesia</x:v>
      </x:c>
      <x:c r="C36" s="38" t="str">
        <x:v>Tech Engineering</x:v>
      </x:c>
      <x:c r="D36" s="38" t="str">
        <x:v>Kota Adm. Jakarta Selatan</x:v>
      </x:c>
      <x:c r="E36" s="38" t="str">
        <x:v>DKI Jakarta</x:v>
      </x:c>
      <x:c r="F36" s="38" t="str">
        <x:v>Swasta Teknologi</x:v>
      </x:c>
      <x:c r="G36" s="38" t="str">
        <x:v>S1</x:v>
      </x:c>
      <x:c r="H36" s="38" t="n">
        <x:v>1</x:v>
      </x:c>
      <x:c r="I36" s="38" t="str">
        <x:v>Ilmu Komputer; Teknologi Komputer; Sistem Informasi; Ilmu Informatika; Teknik Komputer</x:v>
      </x:c>
      <x:c r="J36" s="38" t="str">
        <x:v>Backend Microservices; Frontend React; APIs; Databases; System Design; Testing; Debugging; Secure Coding; Code Review</x:v>
      </x:c>
      <x:c r="K36" s="38" t="str">
        <x:v>Tech Engineering</x:v>
      </x:c>
      <x:c r="L36" s="38" t="str">
        <x:v>https://www.grab.com/id</x:v>
      </x:c>
      <x:c r="M36" s="38" t="str">
        <x:v>Batch 4</x:v>
      </x:c>
      <x:c r="N36" s="38" t="str">
        <x:v>Unik</x:v>
      </x:c>
      <x:c r="O36" s="38" t="n">
        <x:v>25</x:v>
      </x:c>
      <x:c r="P36" s="38" t="n">
        <x:v>30</x:v>
      </x:c>
      <x:c r="Q36" s="38" t="n">
        <x:v>4</x:v>
      </x:c>
      <x:c r="R36" s="38" t="n">
        <x:v>15</x:v>
      </x:c>
      <x:c r="S36" s="38" t="n">
        <x:v>4</x:v>
      </x:c>
      <x:c r="T36" s="38" t="n">
        <x:v>78</x:v>
      </x:c>
      <x:c r="U36" s="38" t="str">
        <x:v>A</x:v>
      </x:c>
      <x:c r="V36" s="38" t="str">
        <x:v>Belum Lamar</x:v>
      </x:c>
      <x:c r="W36" s="49" t="str"/>
      <x:c r="X36" s="49"/>
      <x:c r="Y36" s="38" t="str">
        <x:v>Perlu SQL/Database; Perlu React/Vue; Perlu Testing</x:v>
      </x:c>
      <x:c r="Z36" s="39" t="str">
        <x:v>Unik</x:v>
      </x:c>
    </x:row>
    <x:row r="37">
      <x:c r="A37" s="37" t="n">
        <x:v>34</x:v>
      </x:c>
      <x:c r="B37" s="38" t="str">
        <x:v>PT Great Giant Pineapple</x:v>
      </x:c>
      <x:c r="C37" s="38" t="str">
        <x:v>Programmer Intern</x:v>
      </x:c>
      <x:c r="D37" s="38" t="str">
        <x:v>Kota Adm. Jakarta Selatan</x:v>
      </x:c>
      <x:c r="E37" s="38" t="str">
        <x:v>DKI Jakarta</x:v>
      </x:c>
      <x:c r="F37" s="38" t="str">
        <x:v>Swasta</x:v>
      </x:c>
      <x:c r="G37" s="38" t="str">
        <x:v>S1</x:v>
      </x:c>
      <x:c r="H37" s="38" t="n">
        <x:v>1</x:v>
      </x:c>
      <x:c r="I37" s="38" t="str">
        <x:v>Sistem Komputer; Teknik Komputer</x:v>
      </x:c>
      <x:c r="J37" s="38" t="str">
        <x:v>HR System; Application Development; Testing; Maintenance; Digitalization; Documentation</x:v>
      </x:c>
      <x:c r="K37" s="38" t="str">
        <x:v>Programmer / HR System</x:v>
      </x:c>
      <x:c r="L37" s="38" t="str">
        <x:v>https://www.greatgiantfoods.com</x:v>
      </x:c>
      <x:c r="M37" s="38" t="str">
        <x:v>Batch 4</x:v>
      </x:c>
      <x:c r="N37" s="38" t="str">
        <x:v>Unik</x:v>
      </x:c>
      <x:c r="O37" s="38" t="n">
        <x:v>10</x:v>
      </x:c>
      <x:c r="P37" s="38" t="n">
        <x:v>30</x:v>
      </x:c>
      <x:c r="Q37" s="38" t="n">
        <x:v>4</x:v>
      </x:c>
      <x:c r="R37" s="38" t="n">
        <x:v>10</x:v>
      </x:c>
      <x:c r="S37" s="38" t="n">
        <x:v>4</x:v>
      </x:c>
      <x:c r="T37" s="38" t="n">
        <x:v>58</x:v>
      </x:c>
      <x:c r="U37" s="38" t="str">
        <x:v>C</x:v>
      </x:c>
      <x:c r="V37" s="38" t="str">
        <x:v>Belum Lamar</x:v>
      </x:c>
      <x:c r="W37" s="49" t="str"/>
      <x:c r="X37" s="49"/>
      <x:c r="Y37" s="38" t="str">
        <x:v>Perlu Testing</x:v>
      </x:c>
      <x:c r="Z37" s="39" t="str">
        <x:v>Unik</x:v>
      </x:c>
    </x:row>
    <x:row r="38">
      <x:c r="A38" s="37" t="n">
        <x:v>35</x:v>
      </x:c>
      <x:c r="B38" s="38" t="str">
        <x:v>PT Perkebunan Nusantara III (Persero)</x:v>
      </x:c>
      <x:c r="C38" s="38" t="str">
        <x:v>Web Developer</x:v>
      </x:c>
      <x:c r="D38" s="38" t="str">
        <x:v>Kota Adm. Jakarta Selatan</x:v>
      </x:c>
      <x:c r="E38" s="38" t="str">
        <x:v>DKI Jakarta</x:v>
      </x:c>
      <x:c r="F38" s="38" t="str">
        <x:v>BUMN</x:v>
      </x:c>
      <x:c r="G38" s="38" t="str">
        <x:v>D3/S1</x:v>
      </x:c>
      <x:c r="H38" s="38" t="n">
        <x:v>3</x:v>
      </x:c>
      <x:c r="I38" s="38" t="str">
        <x:v>Teknik Informatika; Teknologi Informasi; Ilmu Komputer; Sistem Informasi; Manajemen Informatika</x:v>
      </x:c>
      <x:c r="J38" s="38" t="str">
        <x:v>Web Development; Testing; Debugging; Database; Content Update; Documentation; Office Tools; SQL</x:v>
      </x:c>
      <x:c r="K38" s="38" t="str">
        <x:v>Web Development</x:v>
      </x:c>
      <x:c r="L38" s="38" t="str">
        <x:v>https://holding-perkebunan.com</x:v>
      </x:c>
      <x:c r="M38" s="38" t="str">
        <x:v>Batch 4</x:v>
      </x:c>
      <x:c r="N38" s="38" t="str">
        <x:v>Unik</x:v>
      </x:c>
      <x:c r="O38" s="38" t="n">
        <x:v>25</x:v>
      </x:c>
      <x:c r="P38" s="38" t="n">
        <x:v>30</x:v>
      </x:c>
      <x:c r="Q38" s="38" t="n">
        <x:v>8</x:v>
      </x:c>
      <x:c r="R38" s="38" t="n">
        <x:v>15</x:v>
      </x:c>
      <x:c r="S38" s="38" t="n">
        <x:v>8</x:v>
      </x:c>
      <x:c r="T38" s="38" t="n">
        <x:v>86</x:v>
      </x:c>
      <x:c r="U38" s="38" t="str">
        <x:v>S</x:v>
      </x:c>
      <x:c r="V38" s="38" t="str">
        <x:v>Belum Lamar</x:v>
      </x:c>
      <x:c r="W38" s="49" t="str"/>
      <x:c r="X38" s="49"/>
      <x:c r="Y38" s="38" t="str">
        <x:v>Perlu SQL/Database; Perlu Testing</x:v>
      </x:c>
      <x:c r="Z38" s="39" t="str">
        <x:v>Unik</x:v>
      </x:c>
    </x:row>
    <x:row r="39">
      <x:c r="A39" s="37" t="n">
        <x:v>36</x:v>
      </x:c>
      <x:c r="B39" s="38" t="str">
        <x:v>PT Televisi Transformasi Indonesia</x:v>
      </x:c>
      <x:c r="C39" s="38" t="str">
        <x:v>Fullstack Web Developer - HRIS</x:v>
      </x:c>
      <x:c r="D39" s="38" t="str">
        <x:v>Kota Adm. Jakarta Selatan</x:v>
      </x:c>
      <x:c r="E39" s="38" t="str">
        <x:v>DKI Jakarta</x:v>
      </x:c>
      <x:c r="F39" s="38" t="str">
        <x:v>Swasta</x:v>
      </x:c>
      <x:c r="G39" s="38" t="str">
        <x:v>D3/S1</x:v>
      </x:c>
      <x:c r="H39" s="38" t="n">
        <x:v>1</x:v>
      </x:c>
      <x:c r="I39" s="38" t="str">
        <x:v>Teknik Informatika; Pendidikan Ilmu Komputer; Sistem Informasi</x:v>
      </x:c>
      <x:c r="J39" s="38" t="str">
        <x:v>Frontend; HTML; CSS; JavaScript; Bootstrap; React/Vue; Backend; Laravel; Node.js; .NET; MySQL; PostgreSQL; REST API; Testing</x:v>
      </x:c>
      <x:c r="K39" s="38" t="str">
        <x:v>Full Stack / HRIS</x:v>
      </x:c>
      <x:c r="L39" s="38" t="str">
        <x:v>https://www.transtv.co.id</x:v>
      </x:c>
      <x:c r="M39" s="38" t="str">
        <x:v>Batch 4</x:v>
      </x:c>
      <x:c r="N39" s="38" t="str">
        <x:v>Unik</x:v>
      </x:c>
      <x:c r="O39" s="38" t="n">
        <x:v>25</x:v>
      </x:c>
      <x:c r="P39" s="38" t="n">
        <x:v>30</x:v>
      </x:c>
      <x:c r="Q39" s="38" t="n">
        <x:v>8</x:v>
      </x:c>
      <x:c r="R39" s="38" t="n">
        <x:v>10</x:v>
      </x:c>
      <x:c r="S39" s="38" t="n">
        <x:v>4</x:v>
      </x:c>
      <x:c r="T39" s="38" t="n">
        <x:v>77</x:v>
      </x:c>
      <x:c r="U39" s="38" t="str">
        <x:v>B</x:v>
      </x:c>
      <x:c r="V39" s="38" t="str">
        <x:v>Belum Lamar</x:v>
      </x:c>
      <x:c r="W39" s="49" t="str"/>
      <x:c r="X39" s="49"/>
      <x:c r="Y39" s="38" t="str">
        <x:v>Perlu Laravel/PHP; Perlu SQL/Database; Perlu REST API; Perlu React/Vue; Perlu Testing</x:v>
      </x:c>
      <x:c r="Z39" s="39" t="str">
        <x:v>Unik</x:v>
      </x:c>
    </x:row>
    <x:row r="40">
      <x:c r="A40" s="37" t="n">
        <x:v>37</x:v>
      </x:c>
      <x:c r="B40" s="38" t="str">
        <x:v>PT Televisi Transformasi Indonesia</x:v>
      </x:c>
      <x:c r="C40" s="38" t="str">
        <x:v>Fullstack Web Developer - HRIS</x:v>
      </x:c>
      <x:c r="D40" s="38" t="str">
        <x:v>Kota Adm. Jakarta Selatan</x:v>
      </x:c>
      <x:c r="E40" s="38" t="str">
        <x:v>DKI Jakarta</x:v>
      </x:c>
      <x:c r="F40" s="38" t="str">
        <x:v>Swasta</x:v>
      </x:c>
      <x:c r="G40" s="38" t="str">
        <x:v>D3/S1</x:v>
      </x:c>
      <x:c r="H40" s="38" t="n">
        <x:v>1</x:v>
      </x:c>
      <x:c r="I40" s="38" t="str">
        <x:v>Teknik Informatika; Pendidikan Ilmu Komputer; Sistem Informasi</x:v>
      </x:c>
      <x:c r="J40" s="38" t="str">
        <x:v>Frontend; HTML; CSS; JavaScript; Bootstrap; React/Vue; Backend; Laravel; Node.js; .NET; MySQL; PostgreSQL; REST API; Testing</x:v>
      </x:c>
      <x:c r="K40" s="38" t="str">
        <x:v>Full Stack / HRIS</x:v>
      </x:c>
      <x:c r="L40" s="38" t="str">
        <x:v>https://www.transtv.co.id</x:v>
      </x:c>
      <x:c r="M40" s="38" t="str">
        <x:v>Batch 4</x:v>
      </x:c>
      <x:c r="N40" s="38" t="str">
        <x:v>Duplikat screenshot #36</x:v>
      </x:c>
      <x:c r="O40" s="38" t="n">
        <x:v>25</x:v>
      </x:c>
      <x:c r="P40" s="38" t="n">
        <x:v>30</x:v>
      </x:c>
      <x:c r="Q40" s="38" t="n">
        <x:v>8</x:v>
      </x:c>
      <x:c r="R40" s="38" t="n">
        <x:v>10</x:v>
      </x:c>
      <x:c r="S40" s="38" t="n">
        <x:v>4</x:v>
      </x:c>
      <x:c r="T40" s="38" t="n">
        <x:v>77</x:v>
      </x:c>
      <x:c r="U40" s="38" t="str">
        <x:v>B</x:v>
      </x:c>
      <x:c r="V40" s="38" t="str">
        <x:v>Belum Lamar</x:v>
      </x:c>
      <x:c r="W40" s="49" t="str"/>
      <x:c r="X40" s="49"/>
      <x:c r="Y40" s="38" t="str">
        <x:v>Perlu Laravel/PHP; Perlu SQL/Database; Perlu REST API; Perlu React/Vue; Perlu Testing</x:v>
      </x:c>
      <x:c r="Z40" s="39" t="str">
        <x:v>Duplikat screenshot #36</x:v>
      </x:c>
    </x:row>
    <x:row r="41">
      <x:c r="A41" s="37" t="n">
        <x:v>38</x:v>
      </x:c>
      <x:c r="B41" s="38" t="str">
        <x:v>PT Trans Berita Bisnis</x:v>
      </x:c>
      <x:c r="C41" s="38" t="str">
        <x:v>IT Research &amp; Development</x:v>
      </x:c>
      <x:c r="D41" s="38" t="str">
        <x:v>Kota Adm. Jakarta Selatan</x:v>
      </x:c>
      <x:c r="E41" s="38" t="str">
        <x:v>DKI Jakarta</x:v>
      </x:c>
      <x:c r="F41" s="38" t="str">
        <x:v>Swasta</x:v>
      </x:c>
      <x:c r="G41" s="38" t="str">
        <x:v>D3/S1</x:v>
      </x:c>
      <x:c r="H41" s="38" t="n">
        <x:v>1</x:v>
      </x:c>
      <x:c r="I41" s="38" t="str">
        <x:v>Teknik Informatika; Informatika; Sistem Informasi; Manajemen Informatika</x:v>
      </x:c>
      <x:c r="J41" s="38" t="str">
        <x:v>R&amp;D; Software Engineering; System Design; Application Development; QA; Advanced Development; Project Management</x:v>
      </x:c>
      <x:c r="K41" s="38" t="str">
        <x:v>IT R&amp;D</x:v>
      </x:c>
      <x:c r="L41" s="38" t="str">
        <x:v>Belum dicatat</x:v>
      </x:c>
      <x:c r="M41" s="38" t="str">
        <x:v>Batch 4</x:v>
      </x:c>
      <x:c r="N41" s="38" t="str">
        <x:v>Unik</x:v>
      </x:c>
      <x:c r="O41" s="38" t="n">
        <x:v>25</x:v>
      </x:c>
      <x:c r="P41" s="38" t="n">
        <x:v>30</x:v>
      </x:c>
      <x:c r="Q41" s="38" t="n">
        <x:v>8</x:v>
      </x:c>
      <x:c r="R41" s="38" t="n">
        <x:v>10</x:v>
      </x:c>
      <x:c r="S41" s="38" t="n">
        <x:v>4</x:v>
      </x:c>
      <x:c r="T41" s="38" t="n">
        <x:v>77</x:v>
      </x:c>
      <x:c r="U41" s="38" t="str">
        <x:v>B</x:v>
      </x:c>
      <x:c r="V41" s="38" t="str">
        <x:v>Belum Lamar</x:v>
      </x:c>
      <x:c r="W41" s="49" t="str"/>
      <x:c r="X41" s="49"/>
      <x:c r="Y41" s="38" t="str">
        <x:v>Perlu Testing</x:v>
      </x:c>
      <x:c r="Z41" s="39" t="str">
        <x:v>Unik</x:v>
      </x:c>
    </x:row>
    <x:row r="42">
      <x:c r="A42" s="37" t="n">
        <x:v>39</x:v>
      </x:c>
      <x:c r="B42" s="38" t="str">
        <x:v>PT Uni-Charm Indonesia Tbk</x:v>
      </x:c>
      <x:c r="C42" s="38" t="str">
        <x:v>IT Sistem Developer Intern</x:v>
      </x:c>
      <x:c r="D42" s="38" t="str">
        <x:v>Kab. Mojokerto</x:v>
      </x:c>
      <x:c r="E42" s="38" t="str">
        <x:v>Jawa Timur</x:v>
      </x:c>
      <x:c r="F42" s="38" t="str">
        <x:v>Swasta Multinasional</x:v>
      </x:c>
      <x:c r="G42" s="38" t="str">
        <x:v>S1</x:v>
      </x:c>
      <x:c r="H42" s="38" t="n">
        <x:v>1</x:v>
      </x:c>
      <x:c r="I42" s="38" t="str">
        <x:v>Teknik Informatika; Ilmu Komputer; Sistem Informasi</x:v>
      </x:c>
      <x:c r="J42" s="38" t="str">
        <x:v>JavaScript; TypeScript; Vue; HTML; CSS; AI-assisted Development; Frontend; Testing; Backup; Reporting</x:v>
      </x:c>
      <x:c r="K42" s="38" t="str">
        <x:v>System Development</x:v>
      </x:c>
      <x:c r="L42" s="38" t="str">
        <x:v>https://www.unicharm.co.id</x:v>
      </x:c>
      <x:c r="M42" s="38" t="str">
        <x:v>Batch 4</x:v>
      </x:c>
      <x:c r="N42" s="38" t="str">
        <x:v>Unik</x:v>
      </x:c>
      <x:c r="O42" s="38" t="n">
        <x:v>25</x:v>
      </x:c>
      <x:c r="P42" s="38" t="n">
        <x:v>30</x:v>
      </x:c>
      <x:c r="Q42" s="38" t="n">
        <x:v>4</x:v>
      </x:c>
      <x:c r="R42" s="38" t="n">
        <x:v>15</x:v>
      </x:c>
      <x:c r="S42" s="38" t="n">
        <x:v>4</x:v>
      </x:c>
      <x:c r="T42" s="38" t="n">
        <x:v>78</x:v>
      </x:c>
      <x:c r="U42" s="38" t="str">
        <x:v>A</x:v>
      </x:c>
      <x:c r="V42" s="38" t="str">
        <x:v>Belum Lamar</x:v>
      </x:c>
      <x:c r="W42" s="49" t="str"/>
      <x:c r="X42" s="49"/>
      <x:c r="Y42" s="38" t="str">
        <x:v>Perlu React/Vue; Perlu Testing</x:v>
      </x:c>
      <x:c r="Z42" s="39" t="str">
        <x:v>Unik</x:v>
      </x:c>
    </x:row>
    <x:row r="43">
      <x:c r="A43" s="37" t="n">
        <x:v>40</x:v>
      </x:c>
      <x:c r="B43" s="38" t="str">
        <x:v>PT Tri Adi Bersama</x:v>
      </x:c>
      <x:c r="C43" s="38" t="str">
        <x:v>FULLSTACK DEVELOPER INTERN</x:v>
      </x:c>
      <x:c r="D43" s="38" t="str">
        <x:v>Kota Adm. Jakarta Selatan</x:v>
      </x:c>
      <x:c r="E43" s="38" t="str">
        <x:v>DKI Jakarta</x:v>
      </x:c>
      <x:c r="F43" s="38" t="str">
        <x:v>Swasta</x:v>
      </x:c>
      <x:c r="G43" s="38" t="str">
        <x:v>S1</x:v>
      </x:c>
      <x:c r="H43" s="38" t="n">
        <x:v>1</x:v>
      </x:c>
      <x:c r="I43" s="38" t="str">
        <x:v>Sistem Informasi</x:v>
      </x:c>
      <x:c r="J43" s="38" t="str">
        <x:v>Frontend; Backend; API Integration; ERP/WMS/Inventory; MySQL; CMS; Debugging; Query Optimization; System Integration</x:v>
      </x:c>
      <x:c r="K43" s="38" t="str">
        <x:v>Full Stack / Business Systems</x:v>
      </x:c>
      <x:c r="L43" s="38" t="str">
        <x:v>https://anteraja.id</x:v>
      </x:c>
      <x:c r="M43" s="38" t="str">
        <x:v>Batch 4</x:v>
      </x:c>
      <x:c r="N43" s="38" t="str">
        <x:v>Unik</x:v>
      </x:c>
      <x:c r="O43" s="38" t="n">
        <x:v>25</x:v>
      </x:c>
      <x:c r="P43" s="38" t="n">
        <x:v>30</x:v>
      </x:c>
      <x:c r="Q43" s="38" t="n">
        <x:v>4</x:v>
      </x:c>
      <x:c r="R43" s="38" t="n">
        <x:v>10</x:v>
      </x:c>
      <x:c r="S43" s="38" t="n">
        <x:v>4</x:v>
      </x:c>
      <x:c r="T43" s="38" t="n">
        <x:v>73</x:v>
      </x:c>
      <x:c r="U43" s="38" t="str">
        <x:v>B</x:v>
      </x:c>
      <x:c r="V43" s="38" t="str">
        <x:v>Belum Lamar</x:v>
      </x:c>
      <x:c r="W43" s="49" t="str"/>
      <x:c r="X43" s="49"/>
      <x:c r="Y43" s="38" t="str">
        <x:v>Perlu SQL/Database; Perlu REST API</x:v>
      </x:c>
      <x:c r="Z43" s="39" t="str">
        <x:v>Unik</x:v>
      </x:c>
    </x:row>
    <x:row r="44">
      <x:c r="A44" s="40" t="n">
        <x:v>41</x:v>
      </x:c>
      <x:c r="B44" s="41" t="str">
        <x:v>Akebono Brake Astra Indonesia</x:v>
      </x:c>
      <x:c r="C44" s="41" t="str">
        <x:v>IT (System Development)</x:v>
      </x:c>
      <x:c r="D44" s="41" t="str">
        <x:v>Kota Adm. Jakarta Utara</x:v>
      </x:c>
      <x:c r="E44" s="41" t="str">
        <x:v>DKI Jakarta</x:v>
      </x:c>
      <x:c r="F44" s="41" t="str">
        <x:v>Swasta (Astra Group)</x:v>
      </x:c>
      <x:c r="G44" s="41" t="str">
        <x:v>D3/S1</x:v>
      </x:c>
      <x:c r="H44" s="41" t="n">
        <x:v>2</x:v>
      </x:c>
      <x:c r="I44" s="41" t="str">
        <x:v>Teknik Informatika; Teknologi Informasi; Sistem Informasi</x:v>
      </x:c>
      <x:c r="J44" s="41" t="str">
        <x:v>Application Development; Maintenance; Troubleshooting; Testing; Bug Reporting; Database; Documentation; IoT; Digitalization</x:v>
      </x:c>
      <x:c r="K44" s="41" t="str">
        <x:v>System Development</x:v>
      </x:c>
      <x:c r="L44" s="41" t="str">
        <x:v>https://www.akebono-brake.com</x:v>
      </x:c>
      <x:c r="M44" s="41" t="str">
        <x:v>Batch 4</x:v>
      </x:c>
      <x:c r="N44" s="41" t="str">
        <x:v>Unik</x:v>
      </x:c>
      <x:c r="O44" s="41" t="n">
        <x:v>25</x:v>
      </x:c>
      <x:c r="P44" s="41" t="n">
        <x:v>27</x:v>
      </x:c>
      <x:c r="Q44" s="41" t="n">
        <x:v>8</x:v>
      </x:c>
      <x:c r="R44" s="41" t="n">
        <x:v>13</x:v>
      </x:c>
      <x:c r="S44" s="41" t="n">
        <x:v>6</x:v>
      </x:c>
      <x:c r="T44" s="41" t="n">
        <x:v>79</x:v>
      </x:c>
      <x:c r="U44" s="41" t="str">
        <x:v>A</x:v>
      </x:c>
      <x:c r="V44" s="41" t="str">
        <x:v>Belum Lamar</x:v>
      </x:c>
      <x:c r="W44" s="50" t="str"/>
      <x:c r="X44" s="50"/>
      <x:c r="Y44" s="41" t="str">
        <x:v>Perlu SQL/Database; Perlu Testing</x:v>
      </x:c>
      <x:c r="Z44" s="42" t="str">
        <x:v>Unik</x:v>
      </x:c>
    </x:row>
  </x:sheetData>
  <x:mergeCells>
    <x:mergeCell ref="A1:Z2"/>
  </x:mergeCells>
  <x:conditionalFormatting sqref="T4:T4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4:U44">
    <x:cfRule type="expression" dxfId="0" priority="2">
      <x:formula>U4="S"</x:formula>
    </x:cfRule>
    <x:cfRule type="expression" dxfId="1" priority="3">
      <x:formula>U4="A"</x:formula>
    </x:cfRule>
    <x:cfRule type="expression" dxfId="2" priority="4">
      <x:formula>U4="B"</x:formula>
    </x:cfRule>
  </x:conditionalFormatting>
  <x:dataValidations count="2">
    <x:dataValidation type="list" sqref="V4:V44">
      <x:formula1>"Belum Lamar,Sudah Lamar,Tes,Interview,Offering,Diterima,Ditolak,Tidak Lanjut"</x:formula1>
    </x:dataValidation>
    <x:dataValidation type="list" sqref="U4:U44">
      <x:formula1>"S,A,B,C"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54adbea9664c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" hidden="0" customWidth="1"/>
    <x:col min="4" max="4" width="8" hidden="0" customWidth="1"/>
    <x:col min="5" max="5" width="27" hidden="0" customWidth="1"/>
    <x:col min="6" max="6" width="36" hidden="0" customWidth="1"/>
    <x:col min="7" max="7" width="23" hidden="0" customWidth="1"/>
    <x:col min="8" max="8" width="10" hidden="0" customWidth="1"/>
    <x:col min="9" max="9" width="10" hidden="0" customWidth="1"/>
    <x:col min="10" max="10" width="10" hidden="0" customWidth="1"/>
    <x:col min="11" max="11" width="16" hidden="0" customWidth="1"/>
    <x:col min="12" max="12" width="35" hidden="0" customWidth="1"/>
  </x:cols>
  <x:sheetData>
    <x:row r="1">
      <x:c r="A1" s="5" t="str">
        <x:v>DASHBOARD SELEKSI MAGANGHUB – PROFIL SISTEM INFORMASI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20" t="str">
        <x:v>KPI</x:v>
      </x:c>
      <x:c r="B4" s="22" t="str">
        <x:v>Nilai</x:v>
      </x:c>
      <x:c r="D4" s="14" t="str">
        <x:v>Ranking</x:v>
      </x:c>
      <x:c r="E4" s="14" t="str">
        <x:v>Perusahaan</x:v>
      </x:c>
      <x:c r="F4" s="14" t="str">
        <x:v>Posisi</x:v>
      </x:c>
      <x:c r="G4" s="14" t="str">
        <x:v>Lokasi</x:v>
      </x:c>
      <x:c r="H4" s="14" t="str">
        <x:v>Kuota</x:v>
      </x:c>
      <x:c r="I4" s="14" t="str">
        <x:v>Skor</x:v>
      </x:c>
      <x:c r="J4" s="14" t="str">
        <x:v>Prioritas</x:v>
      </x:c>
      <x:c r="K4" s="14" t="str">
        <x:v>Status</x:v>
      </x:c>
      <x:c r="L4" s="14" t="str">
        <x:v>Catatan</x:v>
      </x:c>
    </x:row>
    <x:row r="5">
      <x:c r="A5" s="57" t="str">
        <x:v>Screenshot diterima</x:v>
      </x:c>
      <x:c r="B5" s="25" t="n">
        <x:v>41</x:v>
      </x:c>
      <x:c r="D5" s="67" t="n">
        <x:v>1</x:v>
      </x:c>
      <x:c r="E5" s="68" t="str">
        <x:v>PT Pupuk Kalimantan Timur</x:v>
      </x:c>
      <x:c r="F5" s="68" t="str">
        <x:v>Staf Digitalisasi Administrasi Perkantoran dan Pengelolaan Sistem Informasi</x:v>
      </x:c>
      <x:c r="G5" s="68" t="str">
        <x:v>Kota Bontang</x:v>
      </x:c>
      <x:c r="H5" s="68" t="n">
        <x:v>5</x:v>
      </x:c>
      <x:c r="I5" s="68" t="n">
        <x:v>86</x:v>
      </x:c>
      <x:c r="J5" s="68" t="str">
        <x:v>S</x:v>
      </x:c>
      <x:c r="K5" s="68" t="str">
        <x:v>Belum Lamar</x:v>
      </x:c>
      <x:c r="L5" s="69" t="str">
        <x:v>Perlu Data/BI</x:v>
      </x:c>
    </x:row>
    <x:row r="6">
      <x:c r="A6" s="57" t="str">
        <x:v>Lowongan unik</x:v>
      </x:c>
      <x:c r="B6" s="25" t="n">
        <x:v>40</x:v>
      </x:c>
      <x:c r="D6" s="37" t="n">
        <x:v>2</x:v>
      </x:c>
      <x:c r="E6" s="38" t="str">
        <x:v>PT Perkebunan Nusantara III (Persero)</x:v>
      </x:c>
      <x:c r="F6" s="38" t="str">
        <x:v>Web Developer</x:v>
      </x:c>
      <x:c r="G6" s="38" t="str">
        <x:v>Kota Adm. Jakarta Selatan</x:v>
      </x:c>
      <x:c r="H6" s="38" t="n">
        <x:v>3</x:v>
      </x:c>
      <x:c r="I6" s="38" t="n">
        <x:v>86</x:v>
      </x:c>
      <x:c r="J6" s="38" t="str">
        <x:v>S</x:v>
      </x:c>
      <x:c r="K6" s="38" t="str">
        <x:v>Belum Lamar</x:v>
      </x:c>
      <x:c r="L6" s="39" t="str">
        <x:v>Perlu SQL/Database; Perlu Testing</x:v>
      </x:c>
    </x:row>
    <x:row r="7">
      <x:c r="A7" s="57" t="str">
        <x:v>Total kuota unik</x:v>
      </x:c>
      <x:c r="B7" s="25" t="n">
        <x:f>SUMIFS('Database Lowongan'!$H$4:$H$44,'Database Lowongan'!$N$4:$N$44,"Unik")</x:f>
        <x:v>86</x:v>
      </x:c>
      <x:c r="D7" s="37" t="n">
        <x:v>3</x:v>
      </x:c>
      <x:c r="E7" s="38" t="str">
        <x:v>Perum Perhutani</x:v>
      </x:c>
      <x:c r="F7" s="38" t="str">
        <x:v>Refaktor Aplikasi SISKA</x:v>
      </x:c>
      <x:c r="G7" s="38" t="str">
        <x:v>Kota Adm. Jakarta Selatan</x:v>
      </x:c>
      <x:c r="H7" s="38" t="n">
        <x:v>1</x:v>
      </x:c>
      <x:c r="I7" s="38" t="n">
        <x:v>86</x:v>
      </x:c>
      <x:c r="J7" s="38" t="str">
        <x:v>S</x:v>
      </x:c>
      <x:c r="K7" s="38" t="str">
        <x:v>Belum Lamar</x:v>
      </x:c>
      <x:c r="L7" s="39" t="str">
        <x:v>Perlu SQL/Database; Perlu REST API; Perlu Testing</x:v>
      </x:c>
    </x:row>
    <x:row r="8">
      <x:c r="A8" s="57" t="str">
        <x:v>Prioritas S</x:v>
      </x:c>
      <x:c r="B8" s="25" t="n">
        <x:f>COUNTIFS('Database Lowongan'!$U$4:$U$44,"S",'Database Lowongan'!$N$4:$N$44,"Unik")</x:f>
        <x:v>5</x:v>
      </x:c>
      <x:c r="D8" s="37" t="n">
        <x:v>4</x:v>
      </x:c>
      <x:c r="E8" s="38" t="str">
        <x:v>PT Paragon Technology and Innovation</x:v>
      </x:c>
      <x:c r="F8" s="38" t="str">
        <x:v>Software Engineer (HR Technology) Intern</x:v>
      </x:c>
      <x:c r="G8" s="38" t="str">
        <x:v>Kota Adm. Jakarta Selatan</x:v>
      </x:c>
      <x:c r="H8" s="38" t="n">
        <x:v>3</x:v>
      </x:c>
      <x:c r="I8" s="38" t="n">
        <x:v>85</x:v>
      </x:c>
      <x:c r="J8" s="38" t="str">
        <x:v>S</x:v>
      </x:c>
      <x:c r="K8" s="38" t="str">
        <x:v>Belum Lamar</x:v>
      </x:c>
      <x:c r="L8" s="39" t="str">
        <x:v>Perlu Testing; Perlu Data/BI</x:v>
      </x:c>
    </x:row>
    <x:row r="9">
      <x:c r="A9" s="57" t="str">
        <x:v>Prioritas A</x:v>
      </x:c>
      <x:c r="B9" s="25" t="n">
        <x:f>COUNTIFS('Database Lowongan'!$U$4:$U$44,"A",'Database Lowongan'!$N$4:$N$44,"Unik")</x:f>
        <x:v>16</x:v>
      </x:c>
      <x:c r="D9" s="37" t="n">
        <x:v>5</x:v>
      </x:c>
      <x:c r="E9" s="38" t="str">
        <x:v>Nissin Transport Indonesia</x:v>
      </x:c>
      <x:c r="F9" s="38" t="str">
        <x:v>IT Web &amp; Application Developer</x:v>
      </x:c>
      <x:c r="G9" s="38" t="str">
        <x:v>Kota Adm. Jakarta Selatan</x:v>
      </x:c>
      <x:c r="H9" s="38" t="n">
        <x:v>1</x:v>
      </x:c>
      <x:c r="I9" s="38" t="n">
        <x:v>85</x:v>
      </x:c>
      <x:c r="J9" s="38" t="str">
        <x:v>S</x:v>
      </x:c>
      <x:c r="K9" s="38" t="str">
        <x:v>Belum Lamar</x:v>
      </x:c>
      <x:c r="L9" s="39" t="str">
        <x:v>Perlu SQL/Database; Perlu Testing</x:v>
      </x:c>
    </x:row>
    <x:row r="10">
      <x:c r="A10" s="58" t="str">
        <x:v>Sudah dilamar</x:v>
      </x:c>
      <x:c r="B10" s="28" t="n">
        <x:f>COUNTIF('Database Lowongan'!$V$4:$V$44,"Sudah Lamar")</x:f>
        <x:v>0</x:v>
      </x:c>
      <x:c r="D10" s="37" t="n">
        <x:v>6</x:v>
      </x:c>
      <x:c r="E10" s="38" t="str">
        <x:v>PT Toyota Motor Manufacturing Indonesia</x:v>
      </x:c>
      <x:c r="F10" s="38" t="str">
        <x:v>Software Engineer - Karawang Plant</x:v>
      </x:c>
      <x:c r="G10" s="38" t="str">
        <x:v>Kab. Karawang</x:v>
      </x:c>
      <x:c r="H10" s="38" t="n">
        <x:v>5</x:v>
      </x:c>
      <x:c r="I10" s="38" t="n">
        <x:v>84</x:v>
      </x:c>
      <x:c r="J10" s="38" t="str">
        <x:v>A</x:v>
      </x:c>
      <x:c r="K10" s="38" t="str">
        <x:v>Belum Lamar</x:v>
      </x:c>
      <x:c r="L10" s="39" t="str">
        <x:v>Perlu SQL/Database; Perlu Testing</x:v>
      </x:c>
    </x:row>
    <x:row r="11">
      <x:c r="D11" s="37" t="n">
        <x:v>7</x:v>
      </x:c>
      <x:c r="E11" s="38" t="str">
        <x:v>PT Toyota Motor Manufacturing Indonesia</x:v>
      </x:c>
      <x:c r="F11" s="38" t="str">
        <x:v>Software Engineer - Jakarta Utara</x:v>
      </x:c>
      <x:c r="G11" s="38" t="str">
        <x:v>Kota Adm. Jakarta Utara</x:v>
      </x:c>
      <x:c r="H11" s="38" t="n">
        <x:v>5</x:v>
      </x:c>
      <x:c r="I11" s="38" t="n">
        <x:v>84</x:v>
      </x:c>
      <x:c r="J11" s="38" t="str">
        <x:v>A</x:v>
      </x:c>
      <x:c r="K11" s="38" t="str">
        <x:v>Belum Lamar</x:v>
      </x:c>
      <x:c r="L11" s="39" t="str">
        <x:v>Perlu SQL/Database; Perlu Git; Perlu Testing</x:v>
      </x:c>
    </x:row>
    <x:row r="12">
      <x:c r="D12" s="37" t="n">
        <x:v>8</x:v>
      </x:c>
      <x:c r="E12" s="38" t="str">
        <x:v>PT United Tractors Tbk</x:v>
      </x:c>
      <x:c r="F12" s="38" t="str">
        <x:v>Technology &amp; Digitalization</x:v>
      </x:c>
      <x:c r="G12" s="38" t="str">
        <x:v>Kota Adm. Jakarta Timur</x:v>
      </x:c>
      <x:c r="H12" s="38" t="n">
        <x:v>6</x:v>
      </x:c>
      <x:c r="I12" s="38" t="n">
        <x:v>83</x:v>
      </x:c>
      <x:c r="J12" s="38" t="str">
        <x:v>A</x:v>
      </x:c>
      <x:c r="K12" s="38" t="str">
        <x:v>Belum Lamar</x:v>
      </x:c>
      <x:c r="L12" s="39" t="str">
        <x:v>Perlu Data/BI</x:v>
      </x:c>
    </x:row>
    <x:row r="13">
      <x:c r="A13" s="20" t="str">
        <x:v>Provinsi</x:v>
      </x:c>
      <x:c r="B13" s="22" t="str">
        <x:v>Jumlah Lowongan Unik</x:v>
      </x:c>
      <x:c r="D13" s="37" t="n">
        <x:v>9</x:v>
      </x:c>
      <x:c r="E13" s="38" t="str">
        <x:v>PT Wijaya Karya (Persero) Tbk</x:v>
      </x:c>
      <x:c r="F13" s="38" t="str">
        <x:v>Staf Eng Digitalisasi Building</x:v>
      </x:c>
      <x:c r="G13" s="38" t="str">
        <x:v>Kota Adm. Jakarta Timur</x:v>
      </x:c>
      <x:c r="H13" s="38" t="n">
        <x:v>1</x:v>
      </x:c>
      <x:c r="I13" s="38" t="n">
        <x:v>83</x:v>
      </x:c>
      <x:c r="J13" s="38" t="str">
        <x:v>A</x:v>
      </x:c>
      <x:c r="K13" s="38" t="str">
        <x:v>Belum Lamar</x:v>
      </x:c>
      <x:c r="L13" s="39" t="str">
        <x:v>Fokus dasar pemrograman dan analisis sistem</x:v>
      </x:c>
    </x:row>
    <x:row r="14">
      <x:c r="A14" s="23" t="str">
        <x:v>DKI Jakarta</x:v>
      </x:c>
      <x:c r="B14" s="25" t="n">
        <x:v>24</x:v>
      </x:c>
      <x:c r="D14" s="37" t="n">
        <x:v>10</x:v>
      </x:c>
      <x:c r="E14" s="38" t="str">
        <x:v>PT Transportasi Jakarta</x:v>
      </x:c>
      <x:c r="F14" s="38" t="str">
        <x:v>Engineer</x:v>
      </x:c>
      <x:c r="G14" s="38" t="str">
        <x:v>Kota Adm. Jakarta Timur</x:v>
      </x:c>
      <x:c r="H14" s="38" t="n">
        <x:v>8</x:v>
      </x:c>
      <x:c r="I14" s="38" t="n">
        <x:v>82</x:v>
      </x:c>
      <x:c r="J14" s="38" t="str">
        <x:v>A</x:v>
      </x:c>
      <x:c r="K14" s="38" t="str">
        <x:v>Belum Lamar</x:v>
      </x:c>
      <x:c r="L14" s="39" t="str">
        <x:v>Perlu SQL/Database; Perlu REST API; Perlu Git; Perlu Testing</x:v>
      </x:c>
    </x:row>
    <x:row r="15">
      <x:c r="A15" s="23" t="str">
        <x:v>Jawa Barat</x:v>
      </x:c>
      <x:c r="B15" s="25" t="n">
        <x:v>8</x:v>
      </x:c>
      <x:c r="D15" s="37" t="n">
        <x:v>11</x:v>
      </x:c>
      <x:c r="E15" s="38" t="str">
        <x:v>PT Len Industri (Persero)</x:v>
      </x:c>
      <x:c r="F15" s="38" t="str">
        <x:v>Command &amp; Control - Software Engineer Supporting</x:v>
      </x:c>
      <x:c r="G15" s="38" t="str">
        <x:v>Kota Bandung</x:v>
      </x:c>
      <x:c r="H15" s="38" t="n">
        <x:v>4</x:v>
      </x:c>
      <x:c r="I15" s="38" t="n">
        <x:v>82</x:v>
      </x:c>
      <x:c r="J15" s="38" t="str">
        <x:v>A</x:v>
      </x:c>
      <x:c r="K15" s="38" t="str">
        <x:v>Belum Lamar</x:v>
      </x:c>
      <x:c r="L15" s="39" t="str">
        <x:v>Perlu Java; Perlu SQL/Database; Perlu REST API; Perlu Git; Perlu Testing</x:v>
      </x:c>
    </x:row>
    <x:row r="16">
      <x:c r="A16" s="23" t="str">
        <x:v>Jawa Timur</x:v>
      </x:c>
      <x:c r="B16" s="25" t="n">
        <x:v>4</x:v>
      </x:c>
      <x:c r="D16" s="37" t="n">
        <x:v>12</x:v>
      </x:c>
      <x:c r="E16" s="38" t="str">
        <x:v>PT Telekomunikasi Indonesia (Persero) Tbk</x:v>
      </x:c>
      <x:c r="F16" s="38" t="str">
        <x:v>Developer 02 - DDP</x:v>
      </x:c>
      <x:c r="G16" s="38" t="str">
        <x:v>Kota Adm. Jakarta Selatan</x:v>
      </x:c>
      <x:c r="H16" s="38" t="n">
        <x:v>1</x:v>
      </x:c>
      <x:c r="I16" s="38" t="n">
        <x:v>82</x:v>
      </x:c>
      <x:c r="J16" s="38" t="str">
        <x:v>A</x:v>
      </x:c>
      <x:c r="K16" s="38" t="str">
        <x:v>Belum Lamar</x:v>
      </x:c>
      <x:c r="L16" s="39" t="str">
        <x:v>Perlu SQL/Database; Perlu Testing; Perlu Data/BI</x:v>
      </x:c>
    </x:row>
    <x:row r="17">
      <x:c r="A17" s="23" t="str">
        <x:v>Banten</x:v>
      </x:c>
      <x:c r="B17" s="25" t="n">
        <x:v>2</x:v>
      </x:c>
      <x:c r="D17" s="37" t="n">
        <x:v>13</x:v>
      </x:c>
      <x:c r="E17" s="38" t="str">
        <x:v>PT Telekomunikasi Indonesia (Persero) Tbk</x:v>
      </x:c>
      <x:c r="F17" s="38" t="str">
        <x:v>Developer - TREG 3</x:v>
      </x:c>
      <x:c r="G17" s="38" t="str">
        <x:v>Kota Surabaya</x:v>
      </x:c>
      <x:c r="H17" s="38" t="n">
        <x:v>1</x:v>
      </x:c>
      <x:c r="I17" s="38" t="n">
        <x:v>82</x:v>
      </x:c>
      <x:c r="J17" s="38" t="str">
        <x:v>A</x:v>
      </x:c>
      <x:c r="K17" s="38" t="str">
        <x:v>Belum Lamar</x:v>
      </x:c>
      <x:c r="L17" s="39" t="str">
        <x:v>Perlu Laravel/PHP; Perlu SQL/Database; Perlu REST API; Perlu Git; Perlu Testing</x:v>
      </x:c>
    </x:row>
    <x:row r="18">
      <x:c r="A18" s="26" t="str">
        <x:v>Kalimantan Timur</x:v>
      </x:c>
      <x:c r="B18" s="28" t="n">
        <x:v>2</x:v>
      </x:c>
      <x:c r="D18" s="37" t="n">
        <x:v>14</x:v>
      </x:c>
      <x:c r="E18" s="38" t="str">
        <x:v>PT Telekomunikasi Indonesia (Persero) Tbk - Witel Bandung</x:v>
      </x:c>
      <x:c r="F18" s="38" t="str">
        <x:v>Developer 01 - DCS</x:v>
      </x:c>
      <x:c r="G18" s="38" t="str">
        <x:v>Kota Bandung</x:v>
      </x:c>
      <x:c r="H18" s="38" t="n">
        <x:v>1</x:v>
      </x:c>
      <x:c r="I18" s="38" t="n">
        <x:v>82</x:v>
      </x:c>
      <x:c r="J18" s="38" t="str">
        <x:v>A</x:v>
      </x:c>
      <x:c r="K18" s="38" t="str">
        <x:v>Belum Lamar</x:v>
      </x:c>
      <x:c r="L18" s="39" t="str">
        <x:v>Perlu Laravel/PHP; Perlu SQL/Database; Perlu REST API; Perlu Git; Perlu React/Vue</x:v>
      </x:c>
    </x:row>
    <x:row r="19">
      <x:c r="D19" s="40" t="n">
        <x:v>15</x:v>
      </x:c>
      <x:c r="E19" s="41" t="str">
        <x:v>Perum Perhutani</x:v>
      </x:c>
      <x:c r="F19" s="41" t="str">
        <x:v>Pengembangan Aplikasi Backend &amp; ETL Perhutani</x:v>
      </x:c>
      <x:c r="G19" s="41" t="str">
        <x:v>Kota Adm. Jakarta Selatan</x:v>
      </x:c>
      <x:c r="H19" s="41" t="n">
        <x:v>1</x:v>
      </x:c>
      <x:c r="I19" s="41" t="n">
        <x:v>82</x:v>
      </x:c>
      <x:c r="J19" s="41" t="str">
        <x:v>A</x:v>
      </x:c>
      <x:c r="K19" s="41" t="str">
        <x:v>Belum Lamar</x:v>
      </x:c>
      <x:c r="L19" s="42" t="str">
        <x:v>Perlu SQL/Database; Perlu Testing; Perlu Data/BI</x:v>
      </x:c>
    </x:row>
    <x:row r="24">
      <x:c r="A24" s="20" t="str">
        <x:v>Kategori Posisi</x:v>
      </x:c>
      <x:c r="B24" s="22" t="str">
        <x:v>Jumlah</x:v>
      </x:c>
    </x:row>
    <x:row r="25">
      <x:c r="A25" s="23" t="str">
        <x:v>Software Engineering</x:v>
      </x:c>
      <x:c r="B25" s="25" t="n">
        <x:v>6</x:v>
      </x:c>
    </x:row>
    <x:row r="26">
      <x:c r="A26" s="23" t="str">
        <x:v>Web Development</x:v>
      </x:c>
      <x:c r="B26" s="25" t="n">
        <x:v>3</x:v>
      </x:c>
    </x:row>
    <x:row r="27">
      <x:c r="A27" s="23" t="str">
        <x:v>System Development</x:v>
      </x:c>
      <x:c r="B27" s="25" t="n">
        <x:v>2</x:v>
      </x:c>
    </x:row>
    <x:row r="28">
      <x:c r="A28" s="23" t="str">
        <x:v>AI / Data Analytics</x:v>
      </x:c>
      <x:c r="B28" s="25" t="n">
        <x:v>1</x:v>
      </x:c>
    </x:row>
    <x:row r="29">
      <x:c r="A29" s="23" t="str">
        <x:v>Application Development</x:v>
      </x:c>
      <x:c r="B29" s="25" t="n">
        <x:v>1</x:v>
      </x:c>
    </x:row>
    <x:row r="30">
      <x:c r="A30" s="23" t="str">
        <x:v>Backend / Data Engineering</x:v>
      </x:c>
      <x:c r="B30" s="25" t="n">
        <x:v>1</x:v>
      </x:c>
    </x:row>
    <x:row r="31">
      <x:c r="A31" s="23" t="str">
        <x:v>Backend Engineering</x:v>
      </x:c>
      <x:c r="B31" s="25" t="n">
        <x:v>1</x:v>
      </x:c>
    </x:row>
    <x:row r="32">
      <x:c r="A32" s="23" t="str">
        <x:v>Digital Transformation / Business Analyst</x:v>
      </x:c>
      <x:c r="B32" s="25" t="n">
        <x:v>1</x:v>
      </x:c>
    </x:row>
    <x:row r="33">
      <x:c r="A33" s="23" t="str">
        <x:v>Digitalization / Administration Systems</x:v>
      </x:c>
      <x:c r="B33" s="25" t="n">
        <x:v>1</x:v>
      </x:c>
    </x:row>
    <x:row r="34">
      <x:c r="A34" s="26" t="str">
        <x:v>Digitalization / Web Development</x:v>
      </x:c>
      <x:c r="B34" s="28" t="n">
        <x:v>1</x:v>
      </x:c>
    </x:row>
    <x:row r="40">
      <x:c r="A40" s="76" t="str">
        <x:v>Metode skor: Jurusan 25%, relevansi posisi 30%, kecocokan portofolio website/UI-UX 20%, nilai perusahaan 15%, dan peluang berdasarkan kuota 10%. Skor adalah alat prioritas pribadi, bukan jaminan lolos seleksi.</x:v>
      </x:c>
      <x:c r="B40" s="76"/>
      <x:c r="C40" s="76"/>
      <x:c r="D40" s="76"/>
      <x:c r="E40" s="76"/>
      <x:c r="F40" s="76"/>
      <x:c r="G40" s="76"/>
      <x:c r="H40" s="76"/>
      <x:c r="I40" s="76"/>
      <x:c r="J40" s="76"/>
      <x:c r="K40" s="76"/>
      <x:c r="L40" s="76"/>
    </x:row>
    <x:row r="4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  <x:c r="K41" s="76"/>
      <x:c r="L41" s="76"/>
    </x:row>
    <x:row r="42">
      <x:c r="A42" s="76"/>
      <x:c r="B42" s="76"/>
      <x:c r="C42" s="76"/>
      <x:c r="D42" s="76"/>
      <x:c r="E42" s="76"/>
      <x:c r="F42" s="76"/>
      <x:c r="G42" s="76"/>
      <x:c r="H42" s="76"/>
      <x:c r="I42" s="76"/>
      <x:c r="J42" s="76"/>
      <x:c r="K42" s="76"/>
      <x:c r="L42" s="76"/>
    </x:row>
  </x:sheetData>
  <x:mergeCells>
    <x:mergeCell ref="A1:L2"/>
    <x:mergeCell ref="A40:L42"/>
  </x:mergeCells>
  <x:conditionalFormatting sqref="I5:I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edf0e30a8eda4c99"/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0" hidden="0" customWidth="1"/>
    <x:col min="3" max="3" width="36" hidden="0" customWidth="1"/>
    <x:col min="4" max="4" width="10" hidden="0" customWidth="1"/>
    <x:col min="5" max="5" width="10" hidden="0" customWidth="1"/>
    <x:col min="6" max="6" width="23" hidden="0" customWidth="1"/>
    <x:col min="7" max="7" width="8" hidden="0" customWidth="1"/>
    <x:col min="8" max="8" width="16" hidden="0" customWidth="1"/>
    <x:col min="9" max="9" width="15" hidden="0" customWidth="1"/>
    <x:col min="10" max="10" width="16" hidden="0" customWidth="1"/>
    <x:col min="11" max="11" width="28" hidden="0" customWidth="1"/>
    <x:col min="12" max="12" width="30" hidden="0" customWidth="1"/>
    <x:col min="13" max="13" width="42" hidden="0" customWidth="1"/>
  </x:cols>
  <x:sheetData>
    <x:row r="1">
      <x:c r="A1" s="5" t="str">
        <x:v>TRACKER PROSES LAMARAN MAGANGHUB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20" t="str">
        <x:v>No</x:v>
      </x:c>
      <x:c r="B3" s="21" t="str">
        <x:v>Perusahaan</x:v>
      </x:c>
      <x:c r="C3" s="21" t="str">
        <x:v>Posisi</x:v>
      </x:c>
      <x:c r="D3" s="21" t="str">
        <x:v>Prioritas</x:v>
      </x:c>
      <x:c r="E3" s="21" t="str">
        <x:v>Skor</x:v>
      </x:c>
      <x:c r="F3" s="21" t="str">
        <x:v>Kota</x:v>
      </x:c>
      <x:c r="G3" s="21" t="str">
        <x:v>Kuota</x:v>
      </x:c>
      <x:c r="H3" s="21" t="str">
        <x:v>Status</x:v>
      </x:c>
      <x:c r="I3" s="21" t="str">
        <x:v>Tanggal Lamar</x:v>
      </x:c>
      <x:c r="J3" s="21" t="str">
        <x:v>Tanggal Follow-up</x:v>
      </x:c>
      <x:c r="K3" s="21" t="str">
        <x:v>Tahap Berikutnya</x:v>
      </x:c>
      <x:c r="L3" s="21" t="str">
        <x:v>Kontak/Link</x:v>
      </x:c>
      <x:c r="M3" s="22" t="str">
        <x:v>Catatan</x:v>
      </x:c>
    </x:row>
    <x:row r="4">
      <x:c r="A4" s="37" t="n">
        <x:v>1</x:v>
      </x:c>
      <x:c r="B4" s="38" t="str">
        <x:v>PT Perkebunan Nusantara III (Persero)</x:v>
      </x:c>
      <x:c r="C4" s="38" t="str">
        <x:v>Web Developer</x:v>
      </x:c>
      <x:c r="D4" s="38" t="str">
        <x:v>S</x:v>
      </x:c>
      <x:c r="E4" s="38" t="n">
        <x:v>86</x:v>
      </x:c>
      <x:c r="F4" s="38" t="str">
        <x:v>Kota Adm. Jakarta Selatan</x:v>
      </x:c>
      <x:c r="G4" s="38" t="n">
        <x:v>3</x:v>
      </x:c>
      <x:c r="H4" s="38" t="str">
        <x:v>Belum Lamar</x:v>
      </x:c>
      <x:c r="I4" s="49"/>
      <x:c r="J4" s="49"/>
      <x:c r="K4" s="38" t="str">
        <x:v>Siapkan CV &amp; portofolio</x:v>
      </x:c>
      <x:c r="L4" s="38" t="str">
        <x:v>https://holding-perkebunan.com</x:v>
      </x:c>
      <x:c r="M4" s="39" t="str">
        <x:v>Perlu SQL/Database; Perlu Testing</x:v>
      </x:c>
    </x:row>
    <x:row r="5">
      <x:c r="A5" s="37" t="n">
        <x:v>2</x:v>
      </x:c>
      <x:c r="B5" s="38" t="str">
        <x:v>PT Pupuk Kalimantan Timur</x:v>
      </x:c>
      <x:c r="C5" s="38" t="str">
        <x:v>Staf Digitalisasi Administrasi Perkantoran dan Pengelolaan Sistem Informasi</x:v>
      </x:c>
      <x:c r="D5" s="38" t="str">
        <x:v>S</x:v>
      </x:c>
      <x:c r="E5" s="38" t="n">
        <x:v>86</x:v>
      </x:c>
      <x:c r="F5" s="38" t="str">
        <x:v>Kota Bontang</x:v>
      </x:c>
      <x:c r="G5" s="38" t="n">
        <x:v>5</x:v>
      </x:c>
      <x:c r="H5" s="38" t="str">
        <x:v>Belum Lamar</x:v>
      </x:c>
      <x:c r="I5" s="49"/>
      <x:c r="J5" s="49"/>
      <x:c r="K5" s="38" t="str">
        <x:v>Siapkan CV &amp; portofolio</x:v>
      </x:c>
      <x:c r="L5" s="38" t="str">
        <x:v>https://www.pupukkaltim.com</x:v>
      </x:c>
      <x:c r="M5" s="39" t="str">
        <x:v>Perlu Data/BI</x:v>
      </x:c>
    </x:row>
    <x:row r="6">
      <x:c r="A6" s="37" t="n">
        <x:v>3</x:v>
      </x:c>
      <x:c r="B6" s="38" t="str">
        <x:v>Perum Perhutani</x:v>
      </x:c>
      <x:c r="C6" s="38" t="str">
        <x:v>Refaktor Aplikasi SISKA</x:v>
      </x:c>
      <x:c r="D6" s="38" t="str">
        <x:v>S</x:v>
      </x:c>
      <x:c r="E6" s="38" t="n">
        <x:v>86</x:v>
      </x:c>
      <x:c r="F6" s="38" t="str">
        <x:v>Kota Adm. Jakarta Selatan</x:v>
      </x:c>
      <x:c r="G6" s="38" t="n">
        <x:v>1</x:v>
      </x:c>
      <x:c r="H6" s="38" t="str">
        <x:v>Belum Lamar</x:v>
      </x:c>
      <x:c r="I6" s="49"/>
      <x:c r="J6" s="49"/>
      <x:c r="K6" s="38" t="str">
        <x:v>Siapkan CV &amp; portofolio</x:v>
      </x:c>
      <x:c r="L6" s="38" t="str">
        <x:v>https://www.perhutani.co.id</x:v>
      </x:c>
      <x:c r="M6" s="39" t="str">
        <x:v>Perlu SQL/Database; Perlu REST API; Perlu Testing</x:v>
      </x:c>
    </x:row>
    <x:row r="7">
      <x:c r="A7" s="37" t="n">
        <x:v>4</x:v>
      </x:c>
      <x:c r="B7" s="38" t="str">
        <x:v>Nissin Transport Indonesia</x:v>
      </x:c>
      <x:c r="C7" s="38" t="str">
        <x:v>IT Web &amp; Application Developer</x:v>
      </x:c>
      <x:c r="D7" s="38" t="str">
        <x:v>S</x:v>
      </x:c>
      <x:c r="E7" s="38" t="n">
        <x:v>85</x:v>
      </x:c>
      <x:c r="F7" s="38" t="str">
        <x:v>Kota Adm. Jakarta Selatan</x:v>
      </x:c>
      <x:c r="G7" s="38" t="n">
        <x:v>1</x:v>
      </x:c>
      <x:c r="H7" s="38" t="str">
        <x:v>Belum Lamar</x:v>
      </x:c>
      <x:c r="I7" s="49"/>
      <x:c r="J7" s="49"/>
      <x:c r="K7" s="38" t="str">
        <x:v>Siapkan CV &amp; portofolio</x:v>
      </x:c>
      <x:c r="L7" s="38" t="str">
        <x:v>https://www.nissin-tw.com</x:v>
      </x:c>
      <x:c r="M7" s="39" t="str">
        <x:v>Perlu SQL/Database; Perlu Testing</x:v>
      </x:c>
    </x:row>
    <x:row r="8">
      <x:c r="A8" s="37" t="n">
        <x:v>5</x:v>
      </x:c>
      <x:c r="B8" s="38" t="str">
        <x:v>PT Paragon Technology and Innovation</x:v>
      </x:c>
      <x:c r="C8" s="38" t="str">
        <x:v>Software Engineer (HR Technology) Intern</x:v>
      </x:c>
      <x:c r="D8" s="38" t="str">
        <x:v>S</x:v>
      </x:c>
      <x:c r="E8" s="38" t="n">
        <x:v>85</x:v>
      </x:c>
      <x:c r="F8" s="38" t="str">
        <x:v>Kota Adm. Jakarta Selatan</x:v>
      </x:c>
      <x:c r="G8" s="38" t="n">
        <x:v>3</x:v>
      </x:c>
      <x:c r="H8" s="38" t="str">
        <x:v>Belum Lamar</x:v>
      </x:c>
      <x:c r="I8" s="49"/>
      <x:c r="J8" s="49"/>
      <x:c r="K8" s="38" t="str">
        <x:v>Siapkan CV &amp; portofolio</x:v>
      </x:c>
      <x:c r="L8" s="38" t="str">
        <x:v>https://www.paragon-innovation.com</x:v>
      </x:c>
      <x:c r="M8" s="39" t="str">
        <x:v>Perlu Testing; Perlu Data/BI</x:v>
      </x:c>
    </x:row>
    <x:row r="9">
      <x:c r="A9" s="37" t="n">
        <x:v>6</x:v>
      </x:c>
      <x:c r="B9" s="38" t="str">
        <x:v>PT Toyota Motor Manufacturing Indonesia</x:v>
      </x:c>
      <x:c r="C9" s="38" t="str">
        <x:v>Software Engineer - Karawang Plant</x:v>
      </x:c>
      <x:c r="D9" s="38" t="str">
        <x:v>A</x:v>
      </x:c>
      <x:c r="E9" s="38" t="n">
        <x:v>84</x:v>
      </x:c>
      <x:c r="F9" s="38" t="str">
        <x:v>Kab. Karawang</x:v>
      </x:c>
      <x:c r="G9" s="38" t="n">
        <x:v>5</x:v>
      </x:c>
      <x:c r="H9" s="38" t="str">
        <x:v>Belum Lamar</x:v>
      </x:c>
      <x:c r="I9" s="49"/>
      <x:c r="J9" s="49"/>
      <x:c r="K9" s="38" t="str">
        <x:v>Siapkan CV &amp; portofolio</x:v>
      </x:c>
      <x:c r="L9" s="38" t="str">
        <x:v>https://www.toyota.co.id</x:v>
      </x:c>
      <x:c r="M9" s="39" t="str">
        <x:v>Perlu SQL/Database; Perlu Testing</x:v>
      </x:c>
    </x:row>
    <x:row r="10">
      <x:c r="A10" s="37" t="n">
        <x:v>7</x:v>
      </x:c>
      <x:c r="B10" s="38" t="str">
        <x:v>PT Toyota Motor Manufacturing Indonesia</x:v>
      </x:c>
      <x:c r="C10" s="38" t="str">
        <x:v>Software Engineer - Jakarta Utara</x:v>
      </x:c>
      <x:c r="D10" s="38" t="str">
        <x:v>A</x:v>
      </x:c>
      <x:c r="E10" s="38" t="n">
        <x:v>84</x:v>
      </x:c>
      <x:c r="F10" s="38" t="str">
        <x:v>Kota Adm. Jakarta Utara</x:v>
      </x:c>
      <x:c r="G10" s="38" t="n">
        <x:v>5</x:v>
      </x:c>
      <x:c r="H10" s="38" t="str">
        <x:v>Belum Lamar</x:v>
      </x:c>
      <x:c r="I10" s="49"/>
      <x:c r="J10" s="49"/>
      <x:c r="K10" s="38" t="str">
        <x:v>Siapkan CV &amp; portofolio</x:v>
      </x:c>
      <x:c r="L10" s="38" t="str">
        <x:v>https://www.toyota.co.id</x:v>
      </x:c>
      <x:c r="M10" s="39" t="str">
        <x:v>Perlu SQL/Database; Perlu Git; Perlu Testing</x:v>
      </x:c>
    </x:row>
    <x:row r="11">
      <x:c r="A11" s="37" t="n">
        <x:v>8</x:v>
      </x:c>
      <x:c r="B11" s="38" t="str">
        <x:v>PT United Tractors Tbk</x:v>
      </x:c>
      <x:c r="C11" s="38" t="str">
        <x:v>Technology &amp; Digitalization</x:v>
      </x:c>
      <x:c r="D11" s="38" t="str">
        <x:v>A</x:v>
      </x:c>
      <x:c r="E11" s="38" t="n">
        <x:v>83</x:v>
      </x:c>
      <x:c r="F11" s="38" t="str">
        <x:v>Kota Adm. Jakarta Timur</x:v>
      </x:c>
      <x:c r="G11" s="38" t="n">
        <x:v>6</x:v>
      </x:c>
      <x:c r="H11" s="38" t="str">
        <x:v>Belum Lamar</x:v>
      </x:c>
      <x:c r="I11" s="49"/>
      <x:c r="J11" s="49"/>
      <x:c r="K11" s="38" t="str">
        <x:v>Siapkan CV &amp; portofolio</x:v>
      </x:c>
      <x:c r="L11" s="38" t="str">
        <x:v>https://www.unitedtractors.com</x:v>
      </x:c>
      <x:c r="M11" s="39" t="str">
        <x:v>Perlu Data/BI</x:v>
      </x:c>
    </x:row>
    <x:row r="12">
      <x:c r="A12" s="37" t="n">
        <x:v>9</x:v>
      </x:c>
      <x:c r="B12" s="38" t="str">
        <x:v>PT Wijaya Karya (Persero) Tbk</x:v>
      </x:c>
      <x:c r="C12" s="38" t="str">
        <x:v>Staf Eng Digitalisasi Building</x:v>
      </x:c>
      <x:c r="D12" s="38" t="str">
        <x:v>A</x:v>
      </x:c>
      <x:c r="E12" s="38" t="n">
        <x:v>83</x:v>
      </x:c>
      <x:c r="F12" s="38" t="str">
        <x:v>Kota Adm. Jakarta Timur</x:v>
      </x:c>
      <x:c r="G12" s="38" t="n">
        <x:v>1</x:v>
      </x:c>
      <x:c r="H12" s="38" t="str">
        <x:v>Belum Lamar</x:v>
      </x:c>
      <x:c r="I12" s="49"/>
      <x:c r="J12" s="49"/>
      <x:c r="K12" s="38" t="str">
        <x:v>Siapkan CV &amp; portofolio</x:v>
      </x:c>
      <x:c r="L12" s="38" t="str">
        <x:v>https://www.wika.co.id</x:v>
      </x:c>
      <x:c r="M12" s="39" t="str">
        <x:v>Fokus dasar pemrograman dan analisis sistem</x:v>
      </x:c>
    </x:row>
    <x:row r="13">
      <x:c r="A13" s="37" t="n">
        <x:v>10</x:v>
      </x:c>
      <x:c r="B13" s="38" t="str">
        <x:v>PT Len Industri (Persero)</x:v>
      </x:c>
      <x:c r="C13" s="38" t="str">
        <x:v>Command &amp; Control - Software Engineer Supporting</x:v>
      </x:c>
      <x:c r="D13" s="38" t="str">
        <x:v>A</x:v>
      </x:c>
      <x:c r="E13" s="38" t="n">
        <x:v>82</x:v>
      </x:c>
      <x:c r="F13" s="38" t="str">
        <x:v>Kota Bandung</x:v>
      </x:c>
      <x:c r="G13" s="38" t="n">
        <x:v>4</x:v>
      </x:c>
      <x:c r="H13" s="38" t="str">
        <x:v>Belum Lamar</x:v>
      </x:c>
      <x:c r="I13" s="49"/>
      <x:c r="J13" s="49"/>
      <x:c r="K13" s="38" t="str">
        <x:v>Siapkan CV &amp; portofolio</x:v>
      </x:c>
      <x:c r="L13" s="38" t="str">
        <x:v>https://www.len.co.id</x:v>
      </x:c>
      <x:c r="M13" s="39" t="str">
        <x:v>Perlu Java; Perlu SQL/Database; Perlu REST API; Perlu Git; Perlu Testing</x:v>
      </x:c>
    </x:row>
    <x:row r="14">
      <x:c r="A14" s="37" t="n">
        <x:v>11</x:v>
      </x:c>
      <x:c r="B14" s="38" t="str">
        <x:v>PT Telekomunikasi Indonesia (Persero) Tbk</x:v>
      </x:c>
      <x:c r="C14" s="38" t="str">
        <x:v>Developer 02 - DDP</x:v>
      </x:c>
      <x:c r="D14" s="38" t="str">
        <x:v>A</x:v>
      </x:c>
      <x:c r="E14" s="38" t="n">
        <x:v>82</x:v>
      </x:c>
      <x:c r="F14" s="38" t="str">
        <x:v>Kota Adm. Jakarta Selatan</x:v>
      </x:c>
      <x:c r="G14" s="38" t="n">
        <x:v>1</x:v>
      </x:c>
      <x:c r="H14" s="38" t="str">
        <x:v>Belum Lamar</x:v>
      </x:c>
      <x:c r="I14" s="49"/>
      <x:c r="J14" s="49"/>
      <x:c r="K14" s="38" t="str">
        <x:v>Siapkan CV &amp; portofolio</x:v>
      </x:c>
      <x:c r="L14" s="38" t="str">
        <x:v>https://www.telkom.co.id</x:v>
      </x:c>
      <x:c r="M14" s="39" t="str">
        <x:v>Perlu SQL/Database; Perlu Testing; Perlu Data/BI</x:v>
      </x:c>
    </x:row>
    <x:row r="15">
      <x:c r="A15" s="37" t="n">
        <x:v>12</x:v>
      </x:c>
      <x:c r="B15" s="38" t="str">
        <x:v>PT Telekomunikasi Indonesia (Persero) Tbk</x:v>
      </x:c>
      <x:c r="C15" s="38" t="str">
        <x:v>Developer - TREG 3</x:v>
      </x:c>
      <x:c r="D15" s="38" t="str">
        <x:v>A</x:v>
      </x:c>
      <x:c r="E15" s="38" t="n">
        <x:v>82</x:v>
      </x:c>
      <x:c r="F15" s="38" t="str">
        <x:v>Kota Surabaya</x:v>
      </x:c>
      <x:c r="G15" s="38" t="n">
        <x:v>1</x:v>
      </x:c>
      <x:c r="H15" s="38" t="str">
        <x:v>Belum Lamar</x:v>
      </x:c>
      <x:c r="I15" s="49"/>
      <x:c r="J15" s="49"/>
      <x:c r="K15" s="38" t="str">
        <x:v>Siapkan CV &amp; portofolio</x:v>
      </x:c>
      <x:c r="L15" s="38" t="str">
        <x:v>https://www.telkom.co.id</x:v>
      </x:c>
      <x:c r="M15" s="39" t="str">
        <x:v>Perlu Laravel/PHP; Perlu SQL/Database; Perlu REST API; Perlu Git; Perlu Testing</x:v>
      </x:c>
    </x:row>
    <x:row r="16">
      <x:c r="A16" s="37" t="n">
        <x:v>13</x:v>
      </x:c>
      <x:c r="B16" s="38" t="str">
        <x:v>PT Telekomunikasi Indonesia (Persero) Tbk - Witel Bandung</x:v>
      </x:c>
      <x:c r="C16" s="38" t="str">
        <x:v>Developer 01 - DCS</x:v>
      </x:c>
      <x:c r="D16" s="38" t="str">
        <x:v>A</x:v>
      </x:c>
      <x:c r="E16" s="38" t="n">
        <x:v>82</x:v>
      </x:c>
      <x:c r="F16" s="38" t="str">
        <x:v>Kota Bandung</x:v>
      </x:c>
      <x:c r="G16" s="38" t="n">
        <x:v>1</x:v>
      </x:c>
      <x:c r="H16" s="38" t="str">
        <x:v>Belum Lamar</x:v>
      </x:c>
      <x:c r="I16" s="49"/>
      <x:c r="J16" s="49"/>
      <x:c r="K16" s="38" t="str">
        <x:v>Siapkan CV &amp; portofolio</x:v>
      </x:c>
      <x:c r="L16" s="38" t="str">
        <x:v>https://www.telkom.co.id</x:v>
      </x:c>
      <x:c r="M16" s="39" t="str">
        <x:v>Perlu Laravel/PHP; Perlu SQL/Database; Perlu REST API; Perlu Git; Perlu React/Vue</x:v>
      </x:c>
    </x:row>
    <x:row r="17">
      <x:c r="A17" s="37" t="n">
        <x:v>14</x:v>
      </x:c>
      <x:c r="B17" s="38" t="str">
        <x:v>PT Transportasi Jakarta</x:v>
      </x:c>
      <x:c r="C17" s="38" t="str">
        <x:v>Engineer</x:v>
      </x:c>
      <x:c r="D17" s="38" t="str">
        <x:v>A</x:v>
      </x:c>
      <x:c r="E17" s="38" t="n">
        <x:v>82</x:v>
      </x:c>
      <x:c r="F17" s="38" t="str">
        <x:v>Kota Adm. Jakarta Timur</x:v>
      </x:c>
      <x:c r="G17" s="38" t="n">
        <x:v>8</x:v>
      </x:c>
      <x:c r="H17" s="38" t="str">
        <x:v>Belum Lamar</x:v>
      </x:c>
      <x:c r="I17" s="49"/>
      <x:c r="J17" s="49"/>
      <x:c r="K17" s="38" t="str">
        <x:v>Siapkan CV &amp; portofolio</x:v>
      </x:c>
      <x:c r="L17" s="38" t="str">
        <x:v>https://transjakarta.co.id</x:v>
      </x:c>
      <x:c r="M17" s="39" t="str">
        <x:v>Perlu SQL/Database; Perlu REST API; Perlu Git; Perlu Testing</x:v>
      </x:c>
    </x:row>
    <x:row r="18">
      <x:c r="A18" s="37" t="n">
        <x:v>15</x:v>
      </x:c>
      <x:c r="B18" s="38" t="str">
        <x:v>Perum Perhutani</x:v>
      </x:c>
      <x:c r="C18" s="38" t="str">
        <x:v>Pengembangan Aplikasi Backend &amp; ETL Perhutani</x:v>
      </x:c>
      <x:c r="D18" s="38" t="str">
        <x:v>A</x:v>
      </x:c>
      <x:c r="E18" s="38" t="n">
        <x:v>82</x:v>
      </x:c>
      <x:c r="F18" s="38" t="str">
        <x:v>Kota Adm. Jakarta Selatan</x:v>
      </x:c>
      <x:c r="G18" s="38" t="n">
        <x:v>1</x:v>
      </x:c>
      <x:c r="H18" s="38" t="str">
        <x:v>Belum Lamar</x:v>
      </x:c>
      <x:c r="I18" s="49"/>
      <x:c r="J18" s="49"/>
      <x:c r="K18" s="38" t="str">
        <x:v>Siapkan CV &amp; portofolio</x:v>
      </x:c>
      <x:c r="L18" s="38" t="str">
        <x:v>https://www.perhutani.co.id</x:v>
      </x:c>
      <x:c r="M18" s="39" t="str">
        <x:v>Perlu SQL/Database; Perlu Testing; Perlu Data/BI</x:v>
      </x:c>
    </x:row>
    <x:row r="19">
      <x:c r="A19" s="37" t="n">
        <x:v>16</x:v>
      </x:c>
      <x:c r="B19" s="38" t="str">
        <x:v>PT Wijaya Karya (Persero) Tbk</x:v>
      </x:c>
      <x:c r="C19" s="38" t="str">
        <x:v>Staf AI Development Building</x:v>
      </x:c>
      <x:c r="D19" s="38" t="str">
        <x:v>A</x:v>
      </x:c>
      <x:c r="E19" s="38" t="n">
        <x:v>81</x:v>
      </x:c>
      <x:c r="F19" s="38" t="str">
        <x:v>Kota Adm. Jakarta Timur</x:v>
      </x:c>
      <x:c r="G19" s="38" t="n">
        <x:v>1</x:v>
      </x:c>
      <x:c r="H19" s="38" t="str">
        <x:v>Belum Lamar</x:v>
      </x:c>
      <x:c r="I19" s="49"/>
      <x:c r="J19" s="49"/>
      <x:c r="K19" s="38" t="str">
        <x:v>Siapkan CV &amp; portofolio</x:v>
      </x:c>
      <x:c r="L19" s="38" t="str">
        <x:v>https://www.wika.co.id</x:v>
      </x:c>
      <x:c r="M19" s="39" t="str">
        <x:v>Perlu Testing; Perlu Data/BI</x:v>
      </x:c>
    </x:row>
    <x:row r="20">
      <x:c r="A20" s="37" t="n">
        <x:v>17</x:v>
      </x:c>
      <x:c r="B20" s="38" t="str">
        <x:v>PT Jasa Marga (Persero) Tbk</x:v>
      </x:c>
      <x:c r="C20" s="38" t="str">
        <x:v>Staff Information Technology PT JMTM</x:v>
      </x:c>
      <x:c r="D20" s="38" t="str">
        <x:v>A</x:v>
      </x:c>
      <x:c r="E20" s="38" t="n">
        <x:v>80</x:v>
      </x:c>
      <x:c r="F20" s="38" t="str">
        <x:v>Kota Adm. Jakarta Timur</x:v>
      </x:c>
      <x:c r="G20" s="38" t="n">
        <x:v>2</x:v>
      </x:c>
      <x:c r="H20" s="38" t="str">
        <x:v>Belum Lamar</x:v>
      </x:c>
      <x:c r="I20" s="49"/>
      <x:c r="J20" s="49"/>
      <x:c r="K20" s="38" t="str">
        <x:v>Siapkan CV &amp; portofolio</x:v>
      </x:c>
      <x:c r="L20" s="38" t="str">
        <x:v>https://www.jasamarga.com</x:v>
      </x:c>
      <x:c r="M20" s="39" t="str">
        <x:v>Perlu SQL/Database</x:v>
      </x:c>
    </x:row>
    <x:row r="21">
      <x:c r="A21" s="37" t="n">
        <x:v>18</x:v>
      </x:c>
      <x:c r="B21" s="38" t="str">
        <x:v>Panasonic Manufacturing Indonesia</x:v>
      </x:c>
      <x:c r="C21" s="38" t="str">
        <x:v>HSE_IT Internship</x:v>
      </x:c>
      <x:c r="D21" s="38" t="str">
        <x:v>A</x:v>
      </x:c>
      <x:c r="E21" s="38" t="n">
        <x:v>80</x:v>
      </x:c>
      <x:c r="F21" s="38" t="str">
        <x:v>Kota Adm. Jakarta Timur</x:v>
      </x:c>
      <x:c r="G21" s="38" t="n">
        <x:v>1</x:v>
      </x:c>
      <x:c r="H21" s="38" t="str">
        <x:v>Belum Lamar</x:v>
      </x:c>
      <x:c r="I21" s="49"/>
      <x:c r="J21" s="49"/>
      <x:c r="K21" s="38" t="str">
        <x:v>Siapkan CV &amp; portofolio</x:v>
      </x:c>
      <x:c r="L21" s="38" t="str">
        <x:v>https://www.panasonic.com/id</x:v>
      </x:c>
      <x:c r="M21" s="39" t="str">
        <x:v>Perlu Data/BI</x:v>
      </x:c>
    </x:row>
    <x:row r="22">
      <x:c r="A22" s="37" t="n">
        <x:v>19</x:v>
      </x:c>
      <x:c r="B22" s="38" t="str">
        <x:v>Akebono Brake Astra Indonesia</x:v>
      </x:c>
      <x:c r="C22" s="38" t="str">
        <x:v>IT (System Development)</x:v>
      </x:c>
      <x:c r="D22" s="38" t="str">
        <x:v>A</x:v>
      </x:c>
      <x:c r="E22" s="38" t="n">
        <x:v>79</x:v>
      </x:c>
      <x:c r="F22" s="38" t="str">
        <x:v>Kota Adm. Jakarta Utara</x:v>
      </x:c>
      <x:c r="G22" s="38" t="n">
        <x:v>2</x:v>
      </x:c>
      <x:c r="H22" s="38" t="str">
        <x:v>Belum Lamar</x:v>
      </x:c>
      <x:c r="I22" s="49"/>
      <x:c r="J22" s="49"/>
      <x:c r="K22" s="38" t="str">
        <x:v>Siapkan CV &amp; portofolio</x:v>
      </x:c>
      <x:c r="L22" s="38" t="str">
        <x:v>https://www.akebono-brake.com</x:v>
      </x:c>
      <x:c r="M22" s="39" t="str">
        <x:v>Perlu SQL/Database; Perlu Testing</x:v>
      </x:c>
    </x:row>
    <x:row r="23">
      <x:c r="A23" s="37" t="n">
        <x:v>20</x:v>
      </x:c>
      <x:c r="B23" s="38" t="str">
        <x:v>PT Grab Teknologi Indonesia</x:v>
      </x:c>
      <x:c r="C23" s="38" t="str">
        <x:v>Tech Engineering</x:v>
      </x:c>
      <x:c r="D23" s="38" t="str">
        <x:v>A</x:v>
      </x:c>
      <x:c r="E23" s="38" t="n">
        <x:v>78</x:v>
      </x:c>
      <x:c r="F23" s="38" t="str">
        <x:v>Kota Adm. Jakarta Selatan</x:v>
      </x:c>
      <x:c r="G23" s="38" t="n">
        <x:v>1</x:v>
      </x:c>
      <x:c r="H23" s="38" t="str">
        <x:v>Belum Lamar</x:v>
      </x:c>
      <x:c r="I23" s="49"/>
      <x:c r="J23" s="49"/>
      <x:c r="K23" s="38" t="str">
        <x:v>Siapkan CV &amp; portofolio</x:v>
      </x:c>
      <x:c r="L23" s="38" t="str">
        <x:v>https://www.grab.com/id</x:v>
      </x:c>
      <x:c r="M23" s="39" t="str">
        <x:v>Perlu SQL/Database; Perlu React/Vue; Perlu Testing</x:v>
      </x:c>
    </x:row>
    <x:row r="24">
      <x:c r="A24" s="37" t="n">
        <x:v>21</x:v>
      </x:c>
      <x:c r="B24" s="38" t="str">
        <x:v>PT Uni-Charm Indonesia Tbk</x:v>
      </x:c>
      <x:c r="C24" s="38" t="str">
        <x:v>IT Sistem Developer Intern</x:v>
      </x:c>
      <x:c r="D24" s="38" t="str">
        <x:v>A</x:v>
      </x:c>
      <x:c r="E24" s="38" t="n">
        <x:v>78</x:v>
      </x:c>
      <x:c r="F24" s="38" t="str">
        <x:v>Kab. Mojokerto</x:v>
      </x:c>
      <x:c r="G24" s="38" t="n">
        <x:v>1</x:v>
      </x:c>
      <x:c r="H24" s="38" t="str">
        <x:v>Belum Lamar</x:v>
      </x:c>
      <x:c r="I24" s="49"/>
      <x:c r="J24" s="49"/>
      <x:c r="K24" s="38" t="str">
        <x:v>Siapkan CV &amp; portofolio</x:v>
      </x:c>
      <x:c r="L24" s="38" t="str">
        <x:v>https://www.unicharm.co.id</x:v>
      </x:c>
      <x:c r="M24" s="39" t="str">
        <x:v>Perlu React/Vue; Perlu Testing</x:v>
      </x:c>
    </x:row>
    <x:row r="25">
      <x:c r="A25" s="37" t="n">
        <x:v>22</x:v>
      </x:c>
      <x:c r="B25" s="38" t="str">
        <x:v>PT Pelindo Terminal Petikemas</x:v>
      </x:c>
      <x:c r="C25" s="38" t="str">
        <x:v>Staff Teknologi Informasi - Kantor Pusat</x:v>
      </x:c>
      <x:c r="D25" s="38" t="str">
        <x:v>B</x:v>
      </x:c>
      <x:c r="E25" s="38" t="n">
        <x:v>77</x:v>
      </x:c>
      <x:c r="F25" s="38" t="str">
        <x:v>Kota Surabaya</x:v>
      </x:c>
      <x:c r="G25" s="38" t="n">
        <x:v>2</x:v>
      </x:c>
      <x:c r="H25" s="38" t="str">
        <x:v>Belum Lamar</x:v>
      </x:c>
      <x:c r="I25" s="49"/>
      <x:c r="J25" s="49"/>
      <x:c r="K25" s="38" t="str">
        <x:v>Siapkan CV &amp; portofolio</x:v>
      </x:c>
      <x:c r="L25" s="38" t="str">
        <x:v>https://www.pelindotpk.co.id</x:v>
      </x:c>
      <x:c r="M25" s="39" t="str">
        <x:v>Fokus dasar pemrograman dan analisis sistem</x:v>
      </x:c>
    </x:row>
    <x:row r="26">
      <x:c r="A26" s="37" t="n">
        <x:v>23</x:v>
      </x:c>
      <x:c r="B26" s="38" t="str">
        <x:v>PT Televisi Transformasi Indonesia</x:v>
      </x:c>
      <x:c r="C26" s="38" t="str">
        <x:v>Fullstack Web Developer - HRIS</x:v>
      </x:c>
      <x:c r="D26" s="38" t="str">
        <x:v>B</x:v>
      </x:c>
      <x:c r="E26" s="38" t="n">
        <x:v>77</x:v>
      </x:c>
      <x:c r="F26" s="38" t="str">
        <x:v>Kota Adm. Jakarta Selatan</x:v>
      </x:c>
      <x:c r="G26" s="38" t="n">
        <x:v>1</x:v>
      </x:c>
      <x:c r="H26" s="38" t="str">
        <x:v>Belum Lamar</x:v>
      </x:c>
      <x:c r="I26" s="49"/>
      <x:c r="J26" s="49"/>
      <x:c r="K26" s="38" t="str">
        <x:v>Siapkan CV &amp; portofolio</x:v>
      </x:c>
      <x:c r="L26" s="38" t="str">
        <x:v>https://www.transtv.co.id</x:v>
      </x:c>
      <x:c r="M26" s="39" t="str">
        <x:v>Perlu Laravel/PHP; Perlu SQL/Database; Perlu REST API; Perlu React/Vue; Perlu Testing</x:v>
      </x:c>
    </x:row>
    <x:row r="27">
      <x:c r="A27" s="37" t="n">
        <x:v>24</x:v>
      </x:c>
      <x:c r="B27" s="38" t="str">
        <x:v>PT Trans Berita Bisnis</x:v>
      </x:c>
      <x:c r="C27" s="38" t="str">
        <x:v>IT Research &amp; Development</x:v>
      </x:c>
      <x:c r="D27" s="38" t="str">
        <x:v>B</x:v>
      </x:c>
      <x:c r="E27" s="38" t="n">
        <x:v>77</x:v>
      </x:c>
      <x:c r="F27" s="38" t="str">
        <x:v>Kota Adm. Jakarta Selatan</x:v>
      </x:c>
      <x:c r="G27" s="38" t="n">
        <x:v>1</x:v>
      </x:c>
      <x:c r="H27" s="38" t="str">
        <x:v>Belum Lamar</x:v>
      </x:c>
      <x:c r="I27" s="49"/>
      <x:c r="J27" s="49"/>
      <x:c r="K27" s="38" t="str">
        <x:v>Siapkan CV &amp; portofolio</x:v>
      </x:c>
      <x:c r="L27" s="38" t="str">
        <x:v>Belum dicatat</x:v>
      </x:c>
      <x:c r="M27" s="39" t="str">
        <x:v>Perlu Testing</x:v>
      </x:c>
    </x:row>
    <x:row r="28">
      <x:c r="A28" s="37" t="n">
        <x:v>25</x:v>
      </x:c>
      <x:c r="B28" s="38" t="str">
        <x:v>Panasonic Gobel Life Solutions Manufacturing Indonesia</x:v>
      </x:c>
      <x:c r="C28" s="38" t="str">
        <x:v>Programmer</x:v>
      </x:c>
      <x:c r="D28" s="38" t="str">
        <x:v>B</x:v>
      </x:c>
      <x:c r="E28" s="38" t="n">
        <x:v>77</x:v>
      </x:c>
      <x:c r="F28" s="38" t="str">
        <x:v>Kab. Bogor</x:v>
      </x:c>
      <x:c r="G28" s="38" t="n">
        <x:v>2</x:v>
      </x:c>
      <x:c r="H28" s="38" t="str">
        <x:v>Belum Lamar</x:v>
      </x:c>
      <x:c r="I28" s="49"/>
      <x:c r="J28" s="49"/>
      <x:c r="K28" s="38" t="str">
        <x:v>Siapkan CV &amp; portofolio</x:v>
      </x:c>
      <x:c r="L28" s="38" t="str">
        <x:v>https://www.panasonic.com/id</x:v>
      </x:c>
      <x:c r="M28" s="39" t="str">
        <x:v>Perlu SQL/Database; Perlu Testing</x:v>
      </x:c>
    </x:row>
    <x:row r="29">
      <x:c r="A29" s="37" t="n">
        <x:v>26</x:v>
      </x:c>
      <x:c r="B29" s="38" t="str">
        <x:v>Panasonic Manufacturing Indonesia</x:v>
      </x:c>
      <x:c r="C29" s="38" t="str">
        <x:v>IAQ_IT Internship</x:v>
      </x:c>
      <x:c r="D29" s="38" t="str">
        <x:v>B</x:v>
      </x:c>
      <x:c r="E29" s="38" t="n">
        <x:v>76</x:v>
      </x:c>
      <x:c r="F29" s="38" t="str">
        <x:v>Kota Adm. Jakarta Timur</x:v>
      </x:c>
      <x:c r="G29" s="38" t="n">
        <x:v>1</x:v>
      </x:c>
      <x:c r="H29" s="38" t="str">
        <x:v>Belum Lamar</x:v>
      </x:c>
      <x:c r="I29" s="49"/>
      <x:c r="J29" s="49"/>
      <x:c r="K29" s="38" t="str">
        <x:v>Siapkan CV &amp; portofolio</x:v>
      </x:c>
      <x:c r="L29" s="38" t="str">
        <x:v>https://www.panasonic.com/id</x:v>
      </x:c>
      <x:c r="M29" s="39" t="str">
        <x:v>Perlu Data/BI</x:v>
      </x:c>
    </x:row>
    <x:row r="30">
      <x:c r="A30" s="37" t="n">
        <x:v>27</x:v>
      </x:c>
      <x:c r="B30" s="38" t="str">
        <x:v>Panasonic Gobel Life Solutions Manufacturing Indonesia</x:v>
      </x:c>
      <x:c r="C30" s="38" t="str">
        <x:v>Software Engineer</x:v>
      </x:c>
      <x:c r="D30" s="38" t="str">
        <x:v>B</x:v>
      </x:c>
      <x:c r="E30" s="38" t="n">
        <x:v>75</x:v>
      </x:c>
      <x:c r="F30" s="38" t="str">
        <x:v>Kab. Bogor</x:v>
      </x:c>
      <x:c r="G30" s="38" t="n">
        <x:v>1</x:v>
      </x:c>
      <x:c r="H30" s="38" t="str">
        <x:v>Belum Lamar</x:v>
      </x:c>
      <x:c r="I30" s="49"/>
      <x:c r="J30" s="49"/>
      <x:c r="K30" s="38" t="str">
        <x:v>Siapkan CV &amp; portofolio</x:v>
      </x:c>
      <x:c r="L30" s="38" t="str">
        <x:v>https://www.panasonic.com/id</x:v>
      </x:c>
      <x:c r="M30" s="39" t="str">
        <x:v>Perlu SQL/Database; Perlu Testing</x:v>
      </x:c>
    </x:row>
    <x:row r="31">
      <x:c r="A31" s="37" t="n">
        <x:v>28</x:v>
      </x:c>
      <x:c r="B31" s="38" t="str">
        <x:v>PT Global Tiket Network</x:v>
      </x:c>
      <x:c r="C31" s="38" t="str">
        <x:v>Software Engineer (Backend) Intern</x:v>
      </x:c>
      <x:c r="D31" s="38" t="str">
        <x:v>B</x:v>
      </x:c>
      <x:c r="E31" s="38" t="n">
        <x:v>73</x:v>
      </x:c>
      <x:c r="F31" s="38" t="str">
        <x:v>Kota Adm. Jakarta Barat</x:v>
      </x:c>
      <x:c r="G31" s="38" t="n">
        <x:v>10</x:v>
      </x:c>
      <x:c r="H31" s="38" t="str">
        <x:v>Belum Lamar</x:v>
      </x:c>
      <x:c r="I31" s="49"/>
      <x:c r="J31" s="49"/>
      <x:c r="K31" s="38" t="str">
        <x:v>Siapkan CV &amp; portofolio</x:v>
      </x:c>
      <x:c r="L31" s="38" t="str">
        <x:v>https://www.tiket.com</x:v>
      </x:c>
      <x:c r="M31" s="39" t="str">
        <x:v>Perlu Java; Perlu SQL/Database; Perlu Data/BI</x:v>
      </x:c>
    </x:row>
    <x:row r="32">
      <x:c r="A32" s="37" t="n">
        <x:v>29</x:v>
      </x:c>
      <x:c r="B32" s="38" t="str">
        <x:v>PT Pertamina Geothermal Energy Tbk</x:v>
      </x:c>
      <x:c r="C32" s="38" t="str">
        <x:v>Digital Transformation Intern</x:v>
      </x:c>
      <x:c r="D32" s="38" t="str">
        <x:v>B</x:v>
      </x:c>
      <x:c r="E32" s="38" t="n">
        <x:v>73</x:v>
      </x:c>
      <x:c r="F32" s="38" t="str">
        <x:v>Kota Adm. Jakarta Pusat</x:v>
      </x:c>
      <x:c r="G32" s="38" t="n">
        <x:v>1</x:v>
      </x:c>
      <x:c r="H32" s="38" t="str">
        <x:v>Belum Lamar</x:v>
      </x:c>
      <x:c r="I32" s="49"/>
      <x:c r="J32" s="49"/>
      <x:c r="K32" s="38" t="str">
        <x:v>Siapkan CV &amp; portofolio</x:v>
      </x:c>
      <x:c r="L32" s="38" t="str">
        <x:v>https://www.pge.pertamina.com</x:v>
      </x:c>
      <x:c r="M32" s="39" t="str">
        <x:v>Perlu Data/BI</x:v>
      </x:c>
    </x:row>
    <x:row r="33">
      <x:c r="A33" s="37" t="n">
        <x:v>30</x:v>
      </x:c>
      <x:c r="B33" s="38" t="str">
        <x:v>PT Sumber Trijaya Lestari Nasional</x:v>
      </x:c>
      <x:c r="C33" s="38" t="str">
        <x:v>Web Development Intern</x:v>
      </x:c>
      <x:c r="D33" s="38" t="str">
        <x:v>B</x:v>
      </x:c>
      <x:c r="E33" s="38" t="n">
        <x:v>73</x:v>
      </x:c>
      <x:c r="F33" s="38" t="str">
        <x:v>Kota Tangerang</x:v>
      </x:c>
      <x:c r="G33" s="38" t="n">
        <x:v>2</x:v>
      </x:c>
      <x:c r="H33" s="38" t="str">
        <x:v>Belum Lamar</x:v>
      </x:c>
      <x:c r="I33" s="49"/>
      <x:c r="J33" s="49"/>
      <x:c r="K33" s="38" t="str">
        <x:v>Siapkan CV &amp; portofolio</x:v>
      </x:c>
      <x:c r="L33" s="38" t="str">
        <x:v>Belum dicatat</x:v>
      </x:c>
      <x:c r="M33" s="39" t="str">
        <x:v>Perlu Laravel/PHP; Perlu SQL/Database; Perlu React/Vue; Perlu Data/BI</x:v>
      </x:c>
    </x:row>
    <x:row r="34">
      <x:c r="A34" s="37" t="n">
        <x:v>31</x:v>
      </x:c>
      <x:c r="B34" s="38" t="str">
        <x:v>PT Tri Adi Bersama</x:v>
      </x:c>
      <x:c r="C34" s="38" t="str">
        <x:v>FULLSTACK DEVELOPER INTERN</x:v>
      </x:c>
      <x:c r="D34" s="38" t="str">
        <x:v>B</x:v>
      </x:c>
      <x:c r="E34" s="38" t="n">
        <x:v>73</x:v>
      </x:c>
      <x:c r="F34" s="38" t="str">
        <x:v>Kota Adm. Jakarta Selatan</x:v>
      </x:c>
      <x:c r="G34" s="38" t="n">
        <x:v>1</x:v>
      </x:c>
      <x:c r="H34" s="38" t="str">
        <x:v>Belum Lamar</x:v>
      </x:c>
      <x:c r="I34" s="49"/>
      <x:c r="J34" s="49"/>
      <x:c r="K34" s="38" t="str">
        <x:v>Siapkan CV &amp; portofolio</x:v>
      </x:c>
      <x:c r="L34" s="38" t="str">
        <x:v>https://anteraja.id</x:v>
      </x:c>
      <x:c r="M34" s="39" t="str">
        <x:v>Perlu SQL/Database; Perlu REST API</x:v>
      </x:c>
    </x:row>
    <x:row r="35">
      <x:c r="A35" s="37" t="n">
        <x:v>32</x:v>
      </x:c>
      <x:c r="B35" s="38" t="str">
        <x:v>PT Pupuk Kujang</x:v>
      </x:c>
      <x:c r="C35" s="38" t="str">
        <x:v>Staff Digitalisasi</x:v>
      </x:c>
      <x:c r="D35" s="38" t="str">
        <x:v>B</x:v>
      </x:c>
      <x:c r="E35" s="38" t="n">
        <x:v>72</x:v>
      </x:c>
      <x:c r="F35" s="38" t="str">
        <x:v>Kab. Karawang</x:v>
      </x:c>
      <x:c r="G35" s="38" t="n">
        <x:v>1</x:v>
      </x:c>
      <x:c r="H35" s="38" t="str">
        <x:v>Belum Lamar</x:v>
      </x:c>
      <x:c r="I35" s="49"/>
      <x:c r="J35" s="49"/>
      <x:c r="K35" s="38" t="str">
        <x:v>Siapkan CV &amp; portofolio</x:v>
      </x:c>
      <x:c r="L35" s="38" t="str">
        <x:v>https://www.pupuk-kujang.co.id</x:v>
      </x:c>
      <x:c r="M35" s="39" t="str">
        <x:v>Perlu Laravel/PHP; Perlu REST API</x:v>
      </x:c>
    </x:row>
    <x:row r="36">
      <x:c r="A36" s="37" t="n">
        <x:v>33</x:v>
      </x:c>
      <x:c r="B36" s="38" t="str">
        <x:v>PT Traktor Nusantara</x:v>
      </x:c>
      <x:c r="C36" s="38" t="str">
        <x:v>Information &amp; Technology Intern</x:v>
      </x:c>
      <x:c r="D36" s="38" t="str">
        <x:v>B</x:v>
      </x:c>
      <x:c r="E36" s="38" t="n">
        <x:v>70</x:v>
      </x:c>
      <x:c r="F36" s="38" t="str">
        <x:v>Kota Adm. Jakarta Timur</x:v>
      </x:c>
      <x:c r="G36" s="38" t="n">
        <x:v>1</x:v>
      </x:c>
      <x:c r="H36" s="38" t="str">
        <x:v>Belum Lamar</x:v>
      </x:c>
      <x:c r="I36" s="49"/>
      <x:c r="J36" s="49"/>
      <x:c r="K36" s="38" t="str">
        <x:v>Siapkan CV &amp; portofolio</x:v>
      </x:c>
      <x:c r="L36" s="38" t="str">
        <x:v>https://www.traknus.co.id</x:v>
      </x:c>
      <x:c r="M36" s="39" t="str">
        <x:v>Perlu SQL/Database; Perlu Testing</x:v>
      </x:c>
    </x:row>
    <x:row r="37">
      <x:c r="A37" s="37" t="n">
        <x:v>34</x:v>
      </x:c>
      <x:c r="B37" s="38" t="str">
        <x:v>PT Pertamina Retail</x:v>
      </x:c>
      <x:c r="C37" s="38" t="str">
        <x:v>Information, Communication &amp; Technology</x:v>
      </x:c>
      <x:c r="D37" s="38" t="str">
        <x:v>C</x:v>
      </x:c>
      <x:c r="E37" s="38" t="n">
        <x:v>68</x:v>
      </x:c>
      <x:c r="F37" s="38" t="str">
        <x:v>Kota Adm. Jakarta Pusat</x:v>
      </x:c>
      <x:c r="G37" s="38" t="n">
        <x:v>1</x:v>
      </x:c>
      <x:c r="H37" s="38" t="str">
        <x:v>Belum Lamar</x:v>
      </x:c>
      <x:c r="I37" s="49"/>
      <x:c r="J37" s="49"/>
      <x:c r="K37" s="38" t="str">
        <x:v>Siapkan CV &amp; portofolio</x:v>
      </x:c>
      <x:c r="L37" s="38" t="str">
        <x:v>https://pertaminaretail.com</x:v>
      </x:c>
      <x:c r="M37" s="39" t="str">
        <x:v>Perlu Data/BI</x:v>
      </x:c>
    </x:row>
    <x:row r="38">
      <x:c r="A38" s="37" t="n">
        <x:v>35</x:v>
      </x:c>
      <x:c r="B38" s="38" t="str">
        <x:v>PT Jasadvipa Duta Mandiri</x:v>
      </x:c>
      <x:c r="C38" s="38" t="str">
        <x:v>Software Engineer</x:v>
      </x:c>
      <x:c r="D38" s="38" t="str">
        <x:v>C</x:v>
      </x:c>
      <x:c r="E38" s="38" t="n">
        <x:v>66</x:v>
      </x:c>
      <x:c r="F38" s="38" t="str">
        <x:v>Kota Surabaya</x:v>
      </x:c>
      <x:c r="G38" s="38" t="n">
        <x:v>1</x:v>
      </x:c>
      <x:c r="H38" s="38" t="str">
        <x:v>Belum Lamar</x:v>
      </x:c>
      <x:c r="I38" s="49"/>
      <x:c r="J38" s="49"/>
      <x:c r="K38" s="38" t="str">
        <x:v>Siapkan CV &amp; portofolio</x:v>
      </x:c>
      <x:c r="L38" s="38" t="str">
        <x:v>Belum dicatat</x:v>
      </x:c>
      <x:c r="M38" s="39" t="str">
        <x:v>Perlu SQL/Database; Perlu REST API; Perlu Git; Perlu Testing</x:v>
      </x:c>
    </x:row>
    <x:row r="39">
      <x:c r="A39" s="37" t="n">
        <x:v>36</x:v>
      </x:c>
      <x:c r="B39" s="38" t="str">
        <x:v>PT Pupuk Kalimantan Timur</x:v>
      </x:c>
      <x:c r="C39" s="38" t="str">
        <x:v>Staf Teknologi Informasi untuk Operasional Pabrik</x:v>
      </x:c>
      <x:c r="D39" s="38" t="str">
        <x:v>C</x:v>
      </x:c>
      <x:c r="E39" s="38" t="n">
        <x:v>65</x:v>
      </x:c>
      <x:c r="F39" s="38" t="str">
        <x:v>Kota Bontang</x:v>
      </x:c>
      <x:c r="G39" s="38" t="n">
        <x:v>1</x:v>
      </x:c>
      <x:c r="H39" s="38" t="str">
        <x:v>Belum Lamar</x:v>
      </x:c>
      <x:c r="I39" s="49"/>
      <x:c r="J39" s="49"/>
      <x:c r="K39" s="38" t="str">
        <x:v>Siapkan CV &amp; portofolio</x:v>
      </x:c>
      <x:c r="L39" s="38" t="str">
        <x:v>https://www.pupukkaltim.com</x:v>
      </x:c>
      <x:c r="M39" s="39" t="str">
        <x:v>Perlu Data/BI</x:v>
      </x:c>
    </x:row>
    <x:row r="40">
      <x:c r="A40" s="37" t="n">
        <x:v>37</x:v>
      </x:c>
      <x:c r="B40" s="38" t="str">
        <x:v>PT Great Giant Pineapple</x:v>
      </x:c>
      <x:c r="C40" s="38" t="str">
        <x:v>Full Stack Engineer Intern</x:v>
      </x:c>
      <x:c r="D40" s="38" t="str">
        <x:v>C</x:v>
      </x:c>
      <x:c r="E40" s="38" t="n">
        <x:v>62</x:v>
      </x:c>
      <x:c r="F40" s="38" t="str">
        <x:v>Kab. Tangerang</x:v>
      </x:c>
      <x:c r="G40" s="38" t="n">
        <x:v>1</x:v>
      </x:c>
      <x:c r="H40" s="38" t="str">
        <x:v>Belum Lamar</x:v>
      </x:c>
      <x:c r="I40" s="49"/>
      <x:c r="J40" s="49"/>
      <x:c r="K40" s="38" t="str">
        <x:v>Siapkan CV &amp; portofolio</x:v>
      </x:c>
      <x:c r="L40" s="38" t="str">
        <x:v>https://www.greatgiantfoods.com</x:v>
      </x:c>
      <x:c r="M40" s="39" t="str">
        <x:v>Perlu Laravel/PHP; Perlu SQL/Database; Perlu REST API; Perlu Git; Perlu React/Vue</x:v>
      </x:c>
    </x:row>
    <x:row r="41">
      <x:c r="A41" s="37" t="n">
        <x:v>38</x:v>
      </x:c>
      <x:c r="B41" s="38" t="str">
        <x:v>PT Great Giant Pineapple</x:v>
      </x:c>
      <x:c r="C41" s="38" t="str">
        <x:v>Programmer Intern</x:v>
      </x:c>
      <x:c r="D41" s="38" t="str">
        <x:v>C</x:v>
      </x:c>
      <x:c r="E41" s="38" t="n">
        <x:v>58</x:v>
      </x:c>
      <x:c r="F41" s="38" t="str">
        <x:v>Kota Adm. Jakarta Selatan</x:v>
      </x:c>
      <x:c r="G41" s="38" t="n">
        <x:v>1</x:v>
      </x:c>
      <x:c r="H41" s="38" t="str">
        <x:v>Belum Lamar</x:v>
      </x:c>
      <x:c r="I41" s="49"/>
      <x:c r="J41" s="49"/>
      <x:c r="K41" s="38" t="str">
        <x:v>Siapkan CV &amp; portofolio</x:v>
      </x:c>
      <x:c r="L41" s="38" t="str">
        <x:v>https://www.greatgiantfoods.com</x:v>
      </x:c>
      <x:c r="M41" s="39" t="str">
        <x:v>Perlu Testing</x:v>
      </x:c>
    </x:row>
    <x:row r="42">
      <x:c r="A42" s="37" t="n">
        <x:v>39</x:v>
      </x:c>
      <x:c r="B42" s="38" t="str">
        <x:v>PT Wiraswasta Gemilang Indonesia</x:v>
      </x:c>
      <x:c r="C42" s="38" t="str">
        <x:v>Development Programming</x:v>
      </x:c>
      <x:c r="D42" s="38" t="str">
        <x:v>C</x:v>
      </x:c>
      <x:c r="E42" s="38" t="n">
        <x:v>58</x:v>
      </x:c>
      <x:c r="F42" s="38" t="str">
        <x:v>Kab. Bekasi</x:v>
      </x:c>
      <x:c r="G42" s="38" t="n">
        <x:v>2</x:v>
      </x:c>
      <x:c r="H42" s="38" t="str">
        <x:v>Belum Lamar</x:v>
      </x:c>
      <x:c r="I42" s="49"/>
      <x:c r="J42" s="49"/>
      <x:c r="K42" s="38" t="str">
        <x:v>Siapkan CV &amp; portofolio</x:v>
      </x:c>
      <x:c r="L42" s="38" t="str">
        <x:v>https://www.wgi.co.id</x:v>
      </x:c>
      <x:c r="M42" s="39" t="str">
        <x:v>Fokus dasar pemrograman dan analisis sistem</x:v>
      </x:c>
    </x:row>
    <x:row r="43">
      <x:c r="A43" s="40" t="n">
        <x:v>40</x:v>
      </x:c>
      <x:c r="B43" s="41" t="str">
        <x:v>PT Surganya Motor Indonesia</x:v>
      </x:c>
      <x:c r="C43" s="41" t="str">
        <x:v>IT Staff</x:v>
      </x:c>
      <x:c r="D43" s="41" t="str">
        <x:v>C</x:v>
      </x:c>
      <x:c r="E43" s="41" t="n">
        <x:v>52</x:v>
      </x:c>
      <x:c r="F43" s="41" t="str">
        <x:v>Kota Bandung</x:v>
      </x:c>
      <x:c r="G43" s="41" t="n">
        <x:v>1</x:v>
      </x:c>
      <x:c r="H43" s="41" t="str">
        <x:v>Belum Lamar</x:v>
      </x:c>
      <x:c r="I43" s="50"/>
      <x:c r="J43" s="50"/>
      <x:c r="K43" s="41" t="str">
        <x:v>Siapkan CV &amp; portofolio</x:v>
      </x:c>
      <x:c r="L43" s="41" t="str">
        <x:v>https://planetban.com</x:v>
      </x:c>
      <x:c r="M43" s="42" t="str">
        <x:v>Fokus dasar pemrograman dan analisis sistem</x:v>
      </x:c>
    </x:row>
  </x:sheetData>
  <x:mergeCells>
    <x:mergeCell ref="A1:M2"/>
  </x:mergeCells>
  <x:conditionalFormatting sqref="H4:H43">
    <x:cfRule type="expression" dxfId="3" priority="1">
      <x:formula>H4="Interview"</x:formula>
    </x:cfRule>
    <x:cfRule type="expression" dxfId="4" priority="2">
      <x:formula>H4="Diterima"</x:formula>
    </x:cfRule>
    <x:cfRule type="expression" dxfId="5" priority="3">
      <x:formula>H4="Ditolak"</x:formula>
    </x:cfRule>
  </x:conditionalFormatting>
  <x:dataValidations count="2">
    <x:dataValidation type="list" sqref="H4:H43">
      <x:formula1>"Belum Lamar,Sudah Lamar,Tes,Interview,Offering,Diterima,Ditolak,Tidak Lanjut"</x:formula1>
    </x:dataValidation>
    <x:dataValidation type="list" sqref="D4:D43">
      <x:formula1>"S,A,B,C"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930a8cd45943d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5" hidden="0" customWidth="1"/>
    <x:col min="4" max="4" width="18" hidden="0" customWidth="1"/>
    <x:col min="5" max="5" width="42" hidden="0" customWidth="1"/>
    <x:col min="6" max="6" width="3" hidden="0" customWidth="1"/>
    <x:col min="7" max="7" width="13" hidden="0" customWidth="1"/>
    <x:col min="8" max="8" width="13" hidden="0" customWidth="1"/>
  </x:cols>
  <x:sheetData>
    <x:row r="1">
      <x:c r="A1" s="5" t="str">
        <x:v>ANALISIS SKILL YANG PALING SERING DIBUTUHKAN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20" t="str">
        <x:v>Skill</x:v>
      </x:c>
      <x:c r="B4" s="21" t="str">
        <x:v>Jumlah Lowongan</x:v>
      </x:c>
      <x:c r="C4" s="21" t="str">
        <x:v>Persentase</x:v>
      </x:c>
      <x:c r="D4" s="21" t="str">
        <x:v>Kemampuan Saya</x:v>
      </x:c>
      <x:c r="E4" s="22" t="str">
        <x:v>Rencana Belajar</x:v>
      </x:c>
    </x:row>
    <x:row r="5">
      <x:c r="A5" s="23" t="str">
        <x:v>Testing / QA</x:v>
      </x:c>
      <x:c r="B5" s="24" t="n">
        <x:v>25</x:v>
      </x:c>
      <x:c r="C5" s="24" t="n">
        <x:v>62.5</x:v>
      </x:c>
      <x:c r="D5" s="24" t="str">
        <x:v>Belum dinilai</x:v>
      </x:c>
      <x:c r="E5" s="25" t="str"/>
    </x:row>
    <x:row r="6">
      <x:c r="A6" s="23" t="str">
        <x:v>SQL / Database</x:v>
      </x:c>
      <x:c r="B6" s="24" t="n">
        <x:v>23</x:v>
      </x:c>
      <x:c r="C6" s="24" t="n">
        <x:v>57.5</x:v>
      </x:c>
      <x:c r="D6" s="24" t="str">
        <x:v>Belum dinilai</x:v>
      </x:c>
      <x:c r="E6" s="25" t="str"/>
    </x:row>
    <x:row r="7">
      <x:c r="A7" s="23" t="str">
        <x:v>Web Development</x:v>
      </x:c>
      <x:c r="B7" s="24" t="n">
        <x:v>20</x:v>
      </x:c>
      <x:c r="C7" s="24" t="n">
        <x:v>50</x:v>
      </x:c>
      <x:c r="D7" s="24" t="str">
        <x:v>Belum dinilai</x:v>
      </x:c>
      <x:c r="E7" s="25" t="str"/>
    </x:row>
    <x:row r="8">
      <x:c r="A8" s="23" t="str">
        <x:v>Git / Version Control</x:v>
      </x:c>
      <x:c r="B8" s="24" t="n">
        <x:v>17</x:v>
      </x:c>
      <x:c r="C8" s="24" t="n">
        <x:v>42.5</x:v>
      </x:c>
      <x:c r="D8" s="24" t="str">
        <x:v>Belum dinilai</x:v>
      </x:c>
      <x:c r="E8" s="25" t="str"/>
    </x:row>
    <x:row r="9">
      <x:c r="A9" s="23" t="str">
        <x:v>Data / Dashboard / BI</x:v>
      </x:c>
      <x:c r="B9" s="24" t="n">
        <x:v>15</x:v>
      </x:c>
      <x:c r="C9" s="24" t="n">
        <x:v>37.5</x:v>
      </x:c>
      <x:c r="D9" s="24" t="str">
        <x:v>Belum dinilai</x:v>
      </x:c>
      <x:c r="E9" s="25" t="str"/>
    </x:row>
    <x:row r="10">
      <x:c r="A10" s="23" t="str">
        <x:v>REST API / Integration</x:v>
      </x:c>
      <x:c r="B10" s="24" t="n">
        <x:v>14</x:v>
      </x:c>
      <x:c r="C10" s="24" t="n">
        <x:v>35</x:v>
      </x:c>
      <x:c r="D10" s="24" t="str">
        <x:v>Belum dinilai</x:v>
      </x:c>
      <x:c r="E10" s="25" t="str"/>
    </x:row>
    <x:row r="11">
      <x:c r="A11" s="23" t="str">
        <x:v>DevOps / Deployment</x:v>
      </x:c>
      <x:c r="B11" s="24" t="n">
        <x:v>7</x:v>
      </x:c>
      <x:c r="C11" s="24" t="n">
        <x:v>17.5</x:v>
      </x:c>
      <x:c r="D11" s="24" t="str">
        <x:v>Belum dinilai</x:v>
      </x:c>
      <x:c r="E11" s="25" t="str"/>
    </x:row>
    <x:row r="12">
      <x:c r="A12" s="23" t="str">
        <x:v>Laravel / PHP</x:v>
      </x:c>
      <x:c r="B12" s="24" t="n">
        <x:v>6</x:v>
      </x:c>
      <x:c r="C12" s="24" t="n">
        <x:v>15</x:v>
      </x:c>
      <x:c r="D12" s="24" t="str">
        <x:v>Belum dinilai</x:v>
      </x:c>
      <x:c r="E12" s="25" t="str"/>
    </x:row>
    <x:row r="13">
      <x:c r="A13" s="23" t="str">
        <x:v>React / Vue</x:v>
      </x:c>
      <x:c r="B13" s="24" t="n">
        <x:v>6</x:v>
      </x:c>
      <x:c r="C13" s="24" t="n">
        <x:v>15</x:v>
      </x:c>
      <x:c r="D13" s="24" t="str">
        <x:v>Belum dinilai</x:v>
      </x:c>
      <x:c r="E13" s="25" t="str"/>
    </x:row>
    <x:row r="14">
      <x:c r="A14" s="23" t="str">
        <x:v>Security</x:v>
      </x:c>
      <x:c r="B14" s="24" t="n">
        <x:v>6</x:v>
      </x:c>
      <x:c r="C14" s="24" t="n">
        <x:v>15</x:v>
      </x:c>
      <x:c r="D14" s="24" t="str">
        <x:v>Belum dinilai</x:v>
      </x:c>
      <x:c r="E14" s="25" t="str"/>
    </x:row>
    <x:row r="15">
      <x:c r="A15" s="23" t="str">
        <x:v>Java / Spring</x:v>
      </x:c>
      <x:c r="B15" s="24" t="n">
        <x:v>5</x:v>
      </x:c>
      <x:c r="C15" s="24" t="n">
        <x:v>12.5</x:v>
      </x:c>
      <x:c r="D15" s="24" t="str">
        <x:v>Belum dinilai</x:v>
      </x:c>
      <x:c r="E15" s="25" t="str"/>
    </x:row>
    <x:row r="16">
      <x:c r="A16" s="26" t="str">
        <x:v>System Analysis / Business Process</x:v>
      </x:c>
      <x:c r="B16" s="27" t="n">
        <x:v>4</x:v>
      </x:c>
      <x:c r="C16" s="27" t="n">
        <x:v>10</x:v>
      </x:c>
      <x:c r="D16" s="27" t="str">
        <x:v>Belum dinilai</x:v>
      </x:c>
      <x:c r="E16" s="28" t="str"/>
    </x:row>
  </x:sheetData>
  <x:mergeCells>
    <x:mergeCell ref="A1:H2"/>
  </x:mergeCells>
  <x:conditionalFormatting sqref="B5:B16">
    <x:cfRule type="dataBar" priority="1">
      <x:dataBar>
        <x:cfvo type="min"/>
        <x:cfvo type="max"/>
        <x:color rgb="FF1F6E8C"/>
      </x:dataBar>
      <x:extLst>
        <x:ext xmlns:x14="http://schemas.microsoft.com/office/spreadsheetml/2009/9/main" uri="{B025F937-C7B1-47D3-B67F-A62EFF666E3E}">
          <x14:id>{BD3240BA-E674-2E82-8AE5-D891FECB4A93}</x14:id>
        </x:ext>
      </x:extLst>
    </x:cfRule>
  </x:conditionalFormatting>
  <x:dataValidations count="1">
    <x:dataValidation type="list" sqref="D5:D16">
      <x:formula1>"Belum dinilai,Belum bisa,Dasar,Menengah,Mahir"</x:formula1>
    </x:dataValidation>
  </x:dataValidations>
  <x:pageMargins left="0.7" right="0.7" top="0.75" bottom="0.75" header="0.3" footer="0.3"/>
  <x:drawing xmlns:r="http://schemas.openxmlformats.org/officeDocument/2006/relationships" r:id="R3173e4e7e3ee4b3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D3240BA-E674-2E82-8AE5-D891FECB4A93}">
            <x14:dataBar gradient="1">
              <x14:cfvo type="min"/>
              <x14:cfvo type="max"/>
              <x14:fillColor rgb="FF1F6E8C"/>
            </x14:dataBar>
          </x14:cfRule>
          <xm:sqref>B5:B16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>
      <x:c r="A1" s="5" t="str">
        <x:v>PANDUAN PENGGUNAAN DATABASE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20" t="str">
        <x:v>Bagian</x:v>
      </x:c>
      <x:c r="B4" s="21" t="str">
        <x:v>Cara Menggunakan</x:v>
      </x:c>
      <x:c r="C4" s="21" t="str"/>
      <x:c r="D4" s="21" t="str"/>
      <x:c r="E4" s="21" t="str"/>
      <x:c r="F4" s="21" t="str"/>
      <x:c r="G4" s="21" t="str"/>
      <x:c r="H4" s="22" t="str"/>
    </x:row>
    <x:row r="5">
      <x:c r="A5" s="81" t="str">
        <x:v>Dashboard</x:v>
      </x:c>
      <x:c r="B5" s="38" t="str">
        <x:v>Lihat KPI, 15 ranking tertinggi, sebaran provinsi, dan kategori posisi.</x:v>
      </x:c>
      <x:c r="C5" s="38" t="str"/>
      <x:c r="D5" s="38" t="str"/>
      <x:c r="E5" s="38" t="str"/>
      <x:c r="F5" s="38" t="str"/>
      <x:c r="G5" s="38" t="str"/>
      <x:c r="H5" s="39" t="str"/>
    </x:row>
    <x:row r="6">
      <x:c r="A6" s="81" t="str">
        <x:v>Database Lowongan</x:v>
      </x:c>
      <x:c r="B6" s="38" t="str">
        <x:v>Gunakan filter pada header untuk memilih kota, perusahaan, prioritas, jurusan, atau status lamaran.</x:v>
      </x:c>
      <x:c r="C6" s="38" t="str"/>
      <x:c r="D6" s="38" t="str"/>
      <x:c r="E6" s="38" t="str"/>
      <x:c r="F6" s="38" t="str"/>
      <x:c r="G6" s="38" t="str"/>
      <x:c r="H6" s="39" t="str"/>
    </x:row>
    <x:row r="7">
      <x:c r="A7" s="81" t="str">
        <x:v>Skor Total</x:v>
      </x:c>
      <x:c r="B7" s="38" t="str">
        <x:v>Skor 0–100 berdasarkan kecocokan profil Sistem Informasi, portofolio website administrasi, UI/UX, perusahaan, dan kuota.</x:v>
      </x:c>
      <x:c r="C7" s="38" t="str"/>
      <x:c r="D7" s="38" t="str"/>
      <x:c r="E7" s="38" t="str"/>
      <x:c r="F7" s="38" t="str"/>
      <x:c r="G7" s="38" t="str"/>
      <x:c r="H7" s="39" t="str"/>
    </x:row>
    <x:row r="8">
      <x:c r="A8" s="81" t="str">
        <x:v>Prioritas S</x:v>
      </x:c>
      <x:c r="B8" s="38" t="str">
        <x:v>Lamar secepatnya. Sangat cocok dengan profil dan/atau perusahaan memiliki nilai strategis tinggi.</x:v>
      </x:c>
      <x:c r="C8" s="38" t="str"/>
      <x:c r="D8" s="38" t="str"/>
      <x:c r="E8" s="38" t="str"/>
      <x:c r="F8" s="38" t="str"/>
      <x:c r="G8" s="38" t="str"/>
      <x:c r="H8" s="39" t="str"/>
    </x:row>
    <x:row r="9">
      <x:c r="A9" s="81" t="str">
        <x:v>Prioritas A</x:v>
      </x:c>
      <x:c r="B9" s="38" t="str">
        <x:v>Sangat layak dilamar setelah lowongan prioritas S.</x:v>
      </x:c>
      <x:c r="C9" s="38" t="str"/>
      <x:c r="D9" s="38" t="str"/>
      <x:c r="E9" s="38" t="str"/>
      <x:c r="F9" s="38" t="str"/>
      <x:c r="G9" s="38" t="str"/>
      <x:c r="H9" s="39" t="str"/>
    </x:row>
    <x:row r="10">
      <x:c r="A10" s="81" t="str">
        <x:v>Prioritas B</x:v>
      </x:c>
      <x:c r="B10" s="38" t="str">
        <x:v>Layak sebagai alternatif atau membutuhkan penyesuaian skill lebih besar.</x:v>
      </x:c>
      <x:c r="C10" s="38" t="str"/>
      <x:c r="D10" s="38" t="str"/>
      <x:c r="E10" s="38" t="str"/>
      <x:c r="F10" s="38" t="str"/>
      <x:c r="G10" s="38" t="str"/>
      <x:c r="H10" s="39" t="str"/>
    </x:row>
    <x:row r="11">
      <x:c r="A11" s="81" t="str">
        <x:v>Tracker Lamaran</x:v>
      </x:c>
      <x:c r="B11" s="38" t="str">
        <x:v>Isi status, tanggal melamar, follow-up, tahap berikutnya, dan catatan hasil seleksi.</x:v>
      </x:c>
      <x:c r="C11" s="38" t="str"/>
      <x:c r="D11" s="38" t="str"/>
      <x:c r="E11" s="38" t="str"/>
      <x:c r="F11" s="38" t="str"/>
      <x:c r="G11" s="38" t="str"/>
      <x:c r="H11" s="39" t="str"/>
    </x:row>
    <x:row r="12">
      <x:c r="A12" s="81" t="str">
        <x:v>Skill Gap</x:v>
      </x:c>
      <x:c r="B12" s="38" t="str">
        <x:v>Nilai kemampuan Anda sendiri, lalu isi rencana belajar untuk skill yang paling sering muncul.</x:v>
      </x:c>
      <x:c r="C12" s="38" t="str"/>
      <x:c r="D12" s="38" t="str"/>
      <x:c r="E12" s="38" t="str"/>
      <x:c r="F12" s="38" t="str"/>
      <x:c r="G12" s="38" t="str"/>
      <x:c r="H12" s="39" t="str"/>
    </x:row>
    <x:row r="13">
      <x:c r="A13" s="81" t="str">
        <x:v>Duplikasi</x:v>
      </x:c>
      <x:c r="B13" s="38" t="str">
        <x:v>Screenshot Fullstack Web Developer–HRIS tercatat dua kali. Database mempertahankan 41 rekaman, namun dashboard menghitung 40 lowongan unik.</x:v>
      </x:c>
      <x:c r="C13" s="38" t="str"/>
      <x:c r="D13" s="38" t="str"/>
      <x:c r="E13" s="38" t="str"/>
      <x:c r="F13" s="38" t="str"/>
      <x:c r="G13" s="38" t="str"/>
      <x:c r="H13" s="39" t="str"/>
    </x:row>
    <x:row r="14">
      <x:c r="A14" s="82" t="str">
        <x:v>Deadline</x:v>
      </x:c>
      <x:c r="B14" s="41" t="str">
        <x:v>Tidak terlihat pada screenshot yang diberikan, sehingga kolom deadline sengaja dikosongkan.</x:v>
      </x:c>
      <x:c r="C14" s="41" t="str"/>
      <x:c r="D14" s="41" t="str"/>
      <x:c r="E14" s="41" t="str"/>
      <x:c r="F14" s="41" t="str"/>
      <x:c r="G14" s="41" t="str"/>
      <x:c r="H14" s="42" t="str"/>
    </x:row>
  </x:sheetData>
  <x:mergeCells>
    <x:mergeCell ref="A1:H2"/>
  </x:mergeCells>
  <x:pageMargins left="0.7" right="0.7" top="0.75" bottom="0.75" header="0.3" footer="0.3"/>
</x:worksheet>
</file>